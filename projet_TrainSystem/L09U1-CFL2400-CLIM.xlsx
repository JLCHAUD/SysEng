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Description_Besoin" sheetId="2" state="visible" r:id="rId2"/>
    <sheet xmlns:r="http://schemas.openxmlformats.org/officeDocument/2006/relationships" name="Donnees_Entree" sheetId="3" state="visible" r:id="rId3"/>
    <sheet xmlns:r="http://schemas.openxmlformats.org/officeDocument/2006/relationships" name="Activites" sheetId="4" state="visible" r:id="rId4"/>
    <sheet xmlns:r="http://schemas.openxmlformats.org/officeDocument/2006/relationships" name="Livrables" sheetId="5" state="visible" r:id="rId5"/>
    <sheet xmlns:r="http://schemas.openxmlformats.org/officeDocument/2006/relationships" name="OIL" sheetId="6" state="visible" r:id="rId6"/>
    <sheet xmlns:r="http://schemas.openxmlformats.org/officeDocument/2006/relationships" name="KPI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Planning" sheetId="9" state="visible" r:id="rId9"/>
    <sheet xmlns:r="http://schemas.openxmlformats.org/officeDocument/2006/relationships" name="Orga" sheetId="10" state="visible" r:id="rId10"/>
    <sheet xmlns:r="http://schemas.openxmlformats.org/officeDocument/2006/relationships" name="_Manifeste" sheetId="11" state="visible" r:id="rId11"/>
    <sheet xmlns:r="http://schemas.openxmlformats.org/officeDocument/2006/relationships" name="_Log" sheetId="12" state="visible" r:id="rId12"/>
  </sheets>
  <definedNames>
    <definedName name="heures_vendues">'General'!$B$10</definedName>
    <definedName name="kpi_avancement">'KPI'!$B$3</definedName>
    <definedName name="kpi_h_conso">'KPI'!$B$4</definedName>
    <definedName name="kpi_po_ouverts">'KPI'!$B$5</definedName>
    <definedName name="kpi_po_fermes">'KPI'!$B$6</definedName>
    <definedName name="kpi_po_critiques">'KPI'!$B$7</definedName>
    <definedName name="kpi_po_fournisseur">'KPI'!$B$8</definedName>
    <definedName name="kpi_po_expert">'KPI'!$B$9</definedName>
    <definedName name="kpi_h_vendues">'KPI'!$B$10</definedName>
    <definedName name="kpi_raf">'KPI'!$B$11</definedName>
    <definedName name="kpi_eac">'KPI'!$B$12</definedName>
    <definedName name="kpi_derive">'KPI'!$B$13</definedName>
    <definedName name="kpi_sante">'KPI'!$B$14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sz val="12"/>
    </font>
    <font>
      <name val="Arial"/>
      <b val="1"/>
      <color rgb="00FFFFFF"/>
    </font>
    <font>
      <name val="Arial"/>
      <i val="1"/>
      <sz val="9"/>
    </font>
    <font>
      <name val="Arial"/>
      <b val="1"/>
      <color rgb="001F4E79"/>
      <sz val="10"/>
    </font>
    <font>
      <name val="Arial"/>
      <b val="1"/>
      <sz val="18"/>
    </font>
    <font>
      <name val="Arial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bl_donnees_entree" displayName="tbl_donnees_entree" ref="A1:J4" headerRowCount="1">
  <autoFilter ref="A1:J4"/>
  <tableColumns count="10">
    <tableColumn id="1" name="id"/>
    <tableColumn id="2" name="designation"/>
    <tableColumn id="3" name="type"/>
    <tableColumn id="4" name="origine"/>
    <tableColumn id="5" name="pic"/>
    <tableColumn id="6" name="statut"/>
    <tableColumn id="7" name="date_reception"/>
    <tableColumn id="8" name="maturite"/>
    <tableColumn id="9" name="date_update"/>
    <tableColumn id="10" name="commentaire"/>
  </tableColumns>
  <tableStyleInfo name="TableStyleMedium2" showRowStripes="1"/>
</table>
</file>

<file path=xl/tables/table2.xml><?xml version="1.0" encoding="utf-8"?>
<table xmlns="http://schemas.openxmlformats.org/spreadsheetml/2006/main" id="2" name="tbl_activites" displayName="tbl_activites" ref="A1:J6" headerRowCount="1">
  <autoFilter ref="A1:J6"/>
  <tableColumns count="10">
    <tableColumn id="1" name="id"/>
    <tableColumn id="2" name="designation"/>
    <tableColumn id="3" name="applicable"/>
    <tableColumn id="4" name="poids"/>
    <tableColumn id="5" name="heures_allouees"/>
    <tableColumn id="6" name="statut"/>
    <tableColumn id="7" name="avancement"/>
    <tableColumn id="8" name="heures_consommees"/>
    <tableColumn id="9" name="reste_a_faire"/>
    <tableColumn id="10" name="commentaire"/>
  </tableColumns>
  <tableStyleInfo name="TableStyleMedium2" showRowStripes="1"/>
</table>
</file>

<file path=xl/tables/table3.xml><?xml version="1.0" encoding="utf-8"?>
<table xmlns="http://schemas.openxmlformats.org/spreadsheetml/2006/main" id="3" name="tbl_livrables" displayName="tbl_livrables" ref="A1:J4" headerRowCount="1">
  <autoFilter ref="A1:J4"/>
  <tableColumns count="10">
    <tableColumn id="1" name="id"/>
    <tableColumn id="2" name="designation"/>
    <tableColumn id="3" name="type"/>
    <tableColumn id="4" name="maturite_attendue"/>
    <tableColumn id="5" name="date_attendue"/>
    <tableColumn id="6" name="pic"/>
    <tableColumn id="7" name="statut"/>
    <tableColumn id="8" name="date_revisee"/>
    <tableColumn id="9" name="date_livraison"/>
    <tableColumn id="10" name="commentaire"/>
  </tableColumns>
  <tableStyleInfo name="TableStyleMedium2" showRowStripes="1"/>
</table>
</file>

<file path=xl/tables/table4.xml><?xml version="1.0" encoding="utf-8"?>
<table xmlns="http://schemas.openxmlformats.org/spreadsheetml/2006/main" id="4" name="tbl_oil" displayName="tbl_oil" ref="A1:J4" headerRowCount="1">
  <autoFilter ref="A1:J4"/>
  <tableColumns count="10">
    <tableColumn id="1" name="id"/>
    <tableColumn id="2" name="titre"/>
    <tableColumn id="3" name="description"/>
    <tableColumn id="4" name="en_action"/>
    <tableColumn id="5" name="domaine"/>
    <tableColumn id="6" name="criticite"/>
    <tableColumn id="7" name="statut"/>
    <tableColumn id="8" name="date_ouverture"/>
    <tableColumn id="9" name="date_besoin"/>
    <tableColumn id="10" name="journ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UO — L09U1-CFL2400-CLIM</t>
        </is>
      </c>
    </row>
    <row r="3">
      <c r="A3" s="2" t="inlineStr">
        <is>
          <t>Pôle</t>
        </is>
      </c>
      <c r="B3" t="inlineStr">
        <is>
          <t>Train Système</t>
        </is>
      </c>
    </row>
    <row r="4">
      <c r="A4" s="2" t="inlineStr">
        <is>
          <t>Lot</t>
        </is>
      </c>
      <c r="B4" t="inlineStr">
        <is>
          <t>LOT 9</t>
        </is>
      </c>
    </row>
    <row r="5">
      <c r="A5" s="2" t="inlineStr">
        <is>
          <t>UO</t>
        </is>
      </c>
      <c r="B5" t="inlineStr">
        <is>
          <t>UO1</t>
        </is>
      </c>
    </row>
    <row r="6">
      <c r="A6" s="2" t="inlineStr">
        <is>
          <t>Libellé</t>
        </is>
      </c>
      <c r="B6" t="inlineStr">
        <is>
          <t>Préparation et passage des IDR (Maturité M4)</t>
        </is>
      </c>
    </row>
    <row r="7">
      <c r="A7" s="2" t="inlineStr">
        <is>
          <t>Projet</t>
        </is>
      </c>
      <c r="B7" t="inlineStr">
        <is>
          <t>CFL 2400</t>
        </is>
      </c>
    </row>
    <row r="8">
      <c r="A8" s="2" t="inlineStr">
        <is>
          <t>Système</t>
        </is>
      </c>
      <c r="B8" t="inlineStr">
        <is>
          <t>Climatisation</t>
        </is>
      </c>
    </row>
    <row r="9">
      <c r="A9" s="2" t="inlineStr">
        <is>
          <t>Ingénieur Système (SE)</t>
        </is>
      </c>
      <c r="B9" t="inlineStr">
        <is>
          <t>Jean Dujardin</t>
        </is>
      </c>
    </row>
    <row r="10">
      <c r="A10" s="2" t="inlineStr">
        <is>
          <t>Heures vendues</t>
        </is>
      </c>
      <c r="B10" t="n">
        <v>200</v>
      </c>
    </row>
    <row r="11">
      <c r="A11" s="2" t="inlineStr">
        <is>
          <t>Date de création</t>
        </is>
      </c>
      <c r="B11" t="inlineStr">
        <is>
          <t>2026-06-11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Cahier des charges — extrait du Catalogue UO (L09U1) — copié à la création</t>
        </is>
      </c>
    </row>
    <row r="3">
      <c r="A3" t="inlineStr">
        <is>
          <t>SD.L1.03 : SAA requirement Specification</t>
        </is>
      </c>
    </row>
    <row r="4">
      <c r="A4" t="inlineStr">
        <is>
          <t xml:space="preserve">  · Définir les exigences techniques applicables au SAA</t>
        </is>
      </c>
    </row>
    <row r="5">
      <c r="A5" t="inlineStr">
        <is>
          <t>SD.L1.04 : MoP Type / Planned demonstration identification</t>
        </is>
      </c>
    </row>
    <row r="6">
      <c r="A6" t="inlineStr">
        <is>
          <t xml:space="preserve">  · Sélectionner les types pertinents de Moyens de Preuve</t>
        </is>
      </c>
    </row>
    <row r="7">
      <c r="A7" t="inlineStr">
        <is>
          <t>SD.L1.06 : SAA Requirement Review</t>
        </is>
      </c>
    </row>
    <row r="8">
      <c r="A8" t="inlineStr">
        <is>
          <t xml:space="preserve">  · Garantir la qualité de chaque exigence technique SAA (critères SMART)</t>
        </is>
      </c>
    </row>
    <row r="9">
      <c r="A9" t="inlineStr">
        <is>
          <t>SA.L1.05 : System architecture top level definition</t>
        </is>
      </c>
    </row>
    <row r="10">
      <c r="A10" t="inlineStr">
        <is>
          <t xml:space="preserve">  · Sélectionner ou définir une architecture / solution</t>
        </is>
      </c>
    </row>
    <row r="11">
      <c r="A11" t="inlineStr">
        <is>
          <t>SA.L1.06 : Calculation / Simulations and subsystem scope</t>
        </is>
      </c>
    </row>
    <row r="12">
      <c r="A12" t="inlineStr">
        <is>
          <t xml:space="preserve">  · Dimensionner les sous-systèmes et éléments de conception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0" customWidth="1" min="3" max="3"/>
    <col width="10" customWidth="1" min="4" max="4"/>
    <col width="12" customWidth="1" min="6" max="6"/>
    <col width="13" customWidth="1" min="7" max="7"/>
    <col width="9" customWidth="1" min="8" max="8"/>
    <col width="12" customWidth="1" min="9" max="9"/>
    <col width="28" customWidth="1" min="10" max="10"/>
  </cols>
  <sheetData>
    <row r="1">
      <c r="A1" s="4" t="inlineStr">
        <is>
          <t>id</t>
        </is>
      </c>
      <c r="B1" s="4" t="inlineStr">
        <is>
          <t>designation</t>
        </is>
      </c>
      <c r="C1" s="4" t="inlineStr">
        <is>
          <t>type</t>
        </is>
      </c>
      <c r="D1" s="4" t="inlineStr">
        <is>
          <t>origine</t>
        </is>
      </c>
      <c r="E1" s="4" t="inlineStr">
        <is>
          <t>pic</t>
        </is>
      </c>
      <c r="F1" s="4" t="inlineStr">
        <is>
          <t>statut</t>
        </is>
      </c>
      <c r="G1" s="4" t="inlineStr">
        <is>
          <t>date_reception</t>
        </is>
      </c>
      <c r="H1" s="4" t="inlineStr">
        <is>
          <t>maturite</t>
        </is>
      </c>
      <c r="I1" s="4" t="inlineStr">
        <is>
          <t>date_update</t>
        </is>
      </c>
      <c r="J1" s="4" t="inlineStr">
        <is>
          <t>commentaire</t>
        </is>
      </c>
    </row>
    <row r="2">
      <c r="A2" t="inlineStr">
        <is>
          <t>DE-001</t>
        </is>
      </c>
      <c r="B2" t="inlineStr">
        <is>
          <t>.CUS — Customer requirements</t>
        </is>
      </c>
      <c r="D2" t="inlineStr">
        <is>
          <t>DOORS</t>
        </is>
      </c>
      <c r="F2" t="inlineStr">
        <is>
          <t>RECUE</t>
        </is>
      </c>
      <c r="H2" t="inlineStr">
        <is>
          <t>M3</t>
        </is>
      </c>
    </row>
    <row r="3">
      <c r="A3" t="inlineStr">
        <is>
          <t>DE-002</t>
        </is>
      </c>
      <c r="B3" t="inlineStr">
        <is>
          <t>.STD — Standards applicables</t>
        </is>
      </c>
      <c r="D3" t="inlineStr">
        <is>
          <t>DOORS</t>
        </is>
      </c>
      <c r="F3" t="inlineStr">
        <is>
          <t>EN_ATTENTE</t>
        </is>
      </c>
    </row>
    <row r="4">
      <c r="A4" t="inlineStr">
        <is>
          <t>DE-003</t>
        </is>
      </c>
      <c r="B4" t="inlineStr">
        <is>
          <t>.RSL — RefSol selectionnees</t>
        </is>
      </c>
      <c r="D4" t="inlineStr">
        <is>
          <t>DOORS</t>
        </is>
      </c>
      <c r="F4" t="inlineStr">
        <is>
          <t>RECUE</t>
        </is>
      </c>
      <c r="H4" t="inlineStr">
        <is>
          <t>M2</t>
        </is>
      </c>
    </row>
  </sheetData>
  <dataValidations count="1">
    <dataValidation sqref="F2:F40" showDropDown="0" showInputMessage="0" showErrorMessage="0" allowBlank="1" type="list">
      <formula1>"NA,EN_ATTENTE,RECUE"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1" customWidth="1" min="3" max="3"/>
    <col width="8" customWidth="1" min="4" max="4"/>
    <col width="15" customWidth="1" min="5" max="5"/>
    <col width="11" customWidth="1" min="6" max="6"/>
    <col width="12" customWidth="1" min="7" max="7"/>
    <col width="17" customWidth="1" min="8" max="8"/>
    <col width="13" customWidth="1" min="9" max="9"/>
    <col width="32" customWidth="1" min="10" max="10"/>
  </cols>
  <sheetData>
    <row r="1">
      <c r="A1" s="4" t="inlineStr">
        <is>
          <t>id</t>
        </is>
      </c>
      <c r="B1" s="4" t="inlineStr">
        <is>
          <t>designation</t>
        </is>
      </c>
      <c r="C1" s="4" t="inlineStr">
        <is>
          <t>applicable</t>
        </is>
      </c>
      <c r="D1" s="4" t="inlineStr">
        <is>
          <t>poids</t>
        </is>
      </c>
      <c r="E1" s="4" t="inlineStr">
        <is>
          <t>heures_allouees</t>
        </is>
      </c>
      <c r="F1" s="4" t="inlineStr">
        <is>
          <t>statut</t>
        </is>
      </c>
      <c r="G1" s="4" t="inlineStr">
        <is>
          <t>avancement</t>
        </is>
      </c>
      <c r="H1" s="4" t="inlineStr">
        <is>
          <t>heures_consommees</t>
        </is>
      </c>
      <c r="I1" s="4" t="inlineStr">
        <is>
          <t>reste_a_faire</t>
        </is>
      </c>
      <c r="J1" s="4" t="inlineStr">
        <is>
          <t>commentaire</t>
        </is>
      </c>
    </row>
    <row r="2">
      <c r="A2" t="inlineStr">
        <is>
          <t>SD.L1.03</t>
        </is>
      </c>
      <c r="B2" t="inlineStr">
        <is>
          <t>SAA requirement Specification</t>
        </is>
      </c>
      <c r="C2" t="inlineStr">
        <is>
          <t>OUI</t>
        </is>
      </c>
      <c r="D2" t="n">
        <v>25</v>
      </c>
      <c r="E2" s="5">
        <f>IF(C2="OUI",D2/SUMIF($C$2:$C$6,"OUI",$D$2:$D$6)*heures_vendues,0)</f>
        <v/>
      </c>
      <c r="F2" t="inlineStr">
        <is>
          <t>EN_COURS</t>
        </is>
      </c>
      <c r="G2" t="n">
        <v>60</v>
      </c>
      <c r="H2" t="n">
        <v>30</v>
      </c>
      <c r="I2" s="5">
        <f>(1-G2/100)*E2</f>
        <v/>
      </c>
    </row>
    <row r="3">
      <c r="A3" t="inlineStr">
        <is>
          <t>SD.L1.04</t>
        </is>
      </c>
      <c r="B3" t="inlineStr">
        <is>
          <t>MoP Type / Planned demonstration</t>
        </is>
      </c>
      <c r="C3" t="inlineStr">
        <is>
          <t>OUI</t>
        </is>
      </c>
      <c r="D3" t="n">
        <v>25</v>
      </c>
      <c r="E3" s="5">
        <f>IF(C3="OUI",D3/SUMIF($C$2:$C$6,"OUI",$D$2:$D$6)*heures_vendues,0)</f>
        <v/>
      </c>
      <c r="F3" t="inlineStr">
        <is>
          <t>TERMINEE</t>
        </is>
      </c>
      <c r="G3" t="n">
        <v>100</v>
      </c>
      <c r="H3" t="n">
        <v>24</v>
      </c>
      <c r="I3" s="5">
        <f>(1-G3/100)*E3</f>
        <v/>
      </c>
    </row>
    <row r="4">
      <c r="A4" t="inlineStr">
        <is>
          <t>SD.L1.06</t>
        </is>
      </c>
      <c r="B4" t="inlineStr">
        <is>
          <t>SAA Requirement Review</t>
        </is>
      </c>
      <c r="C4" t="inlineStr">
        <is>
          <t>OUI</t>
        </is>
      </c>
      <c r="D4" t="n">
        <v>25</v>
      </c>
      <c r="E4" s="5">
        <f>IF(C4="OUI",D4/SUMIF($C$2:$C$6,"OUI",$D$2:$D$6)*heures_vendues,0)</f>
        <v/>
      </c>
      <c r="F4" t="inlineStr">
        <is>
          <t>EN_COURS</t>
        </is>
      </c>
      <c r="G4" t="n">
        <v>20</v>
      </c>
      <c r="H4" t="n">
        <v>5</v>
      </c>
      <c r="I4" s="5">
        <f>(1-G4/100)*E4</f>
        <v/>
      </c>
    </row>
    <row r="5">
      <c r="A5" t="inlineStr">
        <is>
          <t>SA.L1.05</t>
        </is>
      </c>
      <c r="B5" t="inlineStr">
        <is>
          <t>System architecture top level</t>
        </is>
      </c>
      <c r="C5" t="inlineStr">
        <is>
          <t>NON</t>
        </is>
      </c>
      <c r="D5" t="n">
        <v>15</v>
      </c>
      <c r="E5" s="5">
        <f>IF(C5="OUI",D5/SUMIF($C$2:$C$6,"OUI",$D$2:$D$6)*heures_vendues,0)</f>
        <v/>
      </c>
      <c r="F5" t="inlineStr">
        <is>
          <t>A_FAIRE</t>
        </is>
      </c>
      <c r="G5" t="n">
        <v>0</v>
      </c>
      <c r="H5" t="n">
        <v>0</v>
      </c>
      <c r="I5" s="5">
        <f>(1-G5/100)*E5</f>
        <v/>
      </c>
      <c r="J5" t="inlineStr">
        <is>
          <t>Hors perimetre — couvert par le donneur</t>
        </is>
      </c>
    </row>
    <row r="6">
      <c r="A6" t="inlineStr">
        <is>
          <t>SA.L1.06</t>
        </is>
      </c>
      <c r="B6" t="inlineStr">
        <is>
          <t>Calculations / Simulations</t>
        </is>
      </c>
      <c r="C6" t="inlineStr">
        <is>
          <t>OUI</t>
        </is>
      </c>
      <c r="D6" t="n">
        <v>25</v>
      </c>
      <c r="E6" s="5">
        <f>IF(C6="OUI",D6/SUMIF($C$2:$C$6,"OUI",$D$2:$D$6)*heures_vendues,0)</f>
        <v/>
      </c>
      <c r="F6" t="inlineStr">
        <is>
          <t>A_FAIRE</t>
        </is>
      </c>
      <c r="G6" t="n">
        <v>0</v>
      </c>
      <c r="H6" t="n">
        <v>0</v>
      </c>
      <c r="I6" s="5">
        <f>(1-G6/100)*E6</f>
        <v/>
      </c>
    </row>
  </sheetData>
  <dataValidations count="2">
    <dataValidation sqref="C2:C40" showDropDown="0" showInputMessage="0" showErrorMessage="0" allowBlank="1" type="list">
      <formula1>"OUI,NON"</formula1>
    </dataValidation>
    <dataValidation sqref="F2:F40" showDropDown="0" showInputMessage="0" showErrorMessage="0" allowBlank="1" type="list">
      <formula1>"A_FAIRE,EN_COURS,TERMINEE,STAND_BY"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8" customWidth="1" min="3" max="3"/>
    <col width="16" customWidth="1" min="4" max="4"/>
    <col width="14" customWidth="1" min="5" max="5"/>
    <col width="10" customWidth="1" min="6" max="6"/>
    <col width="11" customWidth="1" min="7" max="7"/>
    <col width="13" customWidth="1" min="8" max="8"/>
    <col width="13" customWidth="1" min="9" max="9"/>
    <col width="28" customWidth="1" min="10" max="10"/>
  </cols>
  <sheetData>
    <row r="1">
      <c r="A1" s="4" t="inlineStr">
        <is>
          <t>id</t>
        </is>
      </c>
      <c r="B1" s="4" t="inlineStr">
        <is>
          <t>designation</t>
        </is>
      </c>
      <c r="C1" s="4" t="inlineStr">
        <is>
          <t>type</t>
        </is>
      </c>
      <c r="D1" s="4" t="inlineStr">
        <is>
          <t>maturite_attendue</t>
        </is>
      </c>
      <c r="E1" s="4" t="inlineStr">
        <is>
          <t>date_attendue</t>
        </is>
      </c>
      <c r="F1" s="4" t="inlineStr">
        <is>
          <t>pic</t>
        </is>
      </c>
      <c r="G1" s="4" t="inlineStr">
        <is>
          <t>statut</t>
        </is>
      </c>
      <c r="H1" s="4" t="inlineStr">
        <is>
          <t>date_revisee</t>
        </is>
      </c>
      <c r="I1" s="4" t="inlineStr">
        <is>
          <t>date_livraison</t>
        </is>
      </c>
      <c r="J1" s="4" t="inlineStr">
        <is>
          <t>commentaire</t>
        </is>
      </c>
    </row>
    <row r="2">
      <c r="A2" t="inlineStr">
        <is>
          <t>LIV-001</t>
        </is>
      </c>
      <c r="B2" t="inlineStr">
        <is>
          <t>SAA.RS — Requirement Spec</t>
        </is>
      </c>
      <c r="C2" t="inlineStr">
        <is>
          <t>MaJ</t>
        </is>
      </c>
      <c r="D2" t="inlineStr">
        <is>
          <t>M3</t>
        </is>
      </c>
      <c r="G2" t="inlineStr">
        <is>
          <t>EN_COURS</t>
        </is>
      </c>
    </row>
    <row r="3">
      <c r="A3" t="inlineStr">
        <is>
          <t>LIV-002</t>
        </is>
      </c>
      <c r="B3" t="inlineStr">
        <is>
          <t>RSS.RS — Subsystem Spec</t>
        </is>
      </c>
      <c r="C3" t="inlineStr">
        <is>
          <t>MaJ</t>
        </is>
      </c>
      <c r="D3" t="inlineStr">
        <is>
          <t>M3</t>
        </is>
      </c>
      <c r="G3" t="inlineStr">
        <is>
          <t>A_FAIRE</t>
        </is>
      </c>
    </row>
    <row r="4">
      <c r="A4" t="inlineStr">
        <is>
          <t>LIV-003</t>
        </is>
      </c>
      <c r="B4" t="inlineStr">
        <is>
          <t>DR.RS — Design Review file</t>
        </is>
      </c>
      <c r="C4" t="inlineStr">
        <is>
          <t>Spec</t>
        </is>
      </c>
      <c r="G4" t="inlineStr">
        <is>
          <t>A_FAIRE</t>
        </is>
      </c>
    </row>
  </sheetData>
  <dataValidations count="1">
    <dataValidation sqref="G2:G40" showDropDown="0" showInputMessage="0" showErrorMessage="0" allowBlank="1" type="list">
      <formula1>"A_FAIRE,EN_COURS,LIVRE,VALIDE"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44" customWidth="1" min="3" max="3"/>
    <col width="13" customWidth="1" min="4" max="4"/>
    <col width="12" customWidth="1" min="5" max="5"/>
    <col width="11" customWidth="1" min="6" max="6"/>
    <col width="9" customWidth="1" min="7" max="7"/>
    <col width="13" customWidth="1" min="8" max="8"/>
    <col width="12" customWidth="1" min="9" max="9"/>
    <col width="50" customWidth="1" min="10" max="10"/>
  </cols>
  <sheetData>
    <row r="1">
      <c r="A1" s="4" t="inlineStr">
        <is>
          <t>id</t>
        </is>
      </c>
      <c r="B1" s="4" t="inlineStr">
        <is>
          <t>titre</t>
        </is>
      </c>
      <c r="C1" s="4" t="inlineStr">
        <is>
          <t>description</t>
        </is>
      </c>
      <c r="D1" s="4" t="inlineStr">
        <is>
          <t>en_action</t>
        </is>
      </c>
      <c r="E1" s="4" t="inlineStr">
        <is>
          <t>domaine</t>
        </is>
      </c>
      <c r="F1" s="4" t="inlineStr">
        <is>
          <t>criticite</t>
        </is>
      </c>
      <c r="G1" s="4" t="inlineStr">
        <is>
          <t>statut</t>
        </is>
      </c>
      <c r="H1" s="4" t="inlineStr">
        <is>
          <t>date_ouverture</t>
        </is>
      </c>
      <c r="I1" s="4" t="inlineStr">
        <is>
          <t>date_besoin</t>
        </is>
      </c>
      <c r="J1" s="4" t="inlineStr">
        <is>
          <t>journal</t>
        </is>
      </c>
    </row>
    <row r="2">
      <c r="A2" t="inlineStr">
        <is>
          <t>PO-001</t>
        </is>
      </c>
      <c r="B2" t="inlineStr">
        <is>
          <t>Relecture spec SAA par fournisseur</t>
        </is>
      </c>
      <c r="C2" t="inlineStr">
        <is>
          <t>Spec SAA v0.3 envoyee au fournisseur pour relecture avant IDR.</t>
        </is>
      </c>
      <c r="D2" t="inlineStr">
        <is>
          <t>FOURNISSEUR</t>
        </is>
      </c>
      <c r="F2" t="inlineStr">
        <is>
          <t>MOYENNE</t>
        </is>
      </c>
      <c r="G2" t="inlineStr">
        <is>
          <t>OUVERT</t>
        </is>
      </c>
      <c r="H2" t="inlineStr">
        <is>
          <t>2026-06-02</t>
        </is>
      </c>
      <c r="I2" t="inlineStr">
        <is>
          <t>2026-06-20</t>
        </is>
      </c>
      <c r="J2" s="6" t="inlineStr">
        <is>
          <t>02/06 : envoi v0.3 au fournisseur</t>
        </is>
      </c>
    </row>
    <row r="3">
      <c r="A3" t="inlineStr">
        <is>
          <t>PO-002</t>
        </is>
      </c>
      <c r="B3" t="inlineStr">
        <is>
          <t>Exigence feu-fumee EN 45545 a clarifier</t>
        </is>
      </c>
      <c r="C3" t="inlineStr">
        <is>
          <t>Classification HL2 vs HL3 a confirmer pour le compartiment clim.</t>
        </is>
      </c>
      <c r="D3" t="inlineStr">
        <is>
          <t>EXPERT</t>
        </is>
      </c>
      <c r="E3" t="inlineStr">
        <is>
          <t>feu-fumee</t>
        </is>
      </c>
      <c r="F3" t="inlineStr">
        <is>
          <t>HAUTE</t>
        </is>
      </c>
      <c r="G3" t="inlineStr">
        <is>
          <t>OUVERT</t>
        </is>
      </c>
      <c r="H3" t="inlineStr">
        <is>
          <t>2026-06-05</t>
        </is>
      </c>
      <c r="I3" t="inlineStr">
        <is>
          <t>2026-06-30</t>
        </is>
      </c>
      <c r="J3" s="6" t="inlineStr">
        <is>
          <t>05/06 : question posee a l'expert FS</t>
        </is>
      </c>
    </row>
    <row r="4">
      <c r="A4" t="inlineStr">
        <is>
          <t>PO-003</t>
        </is>
      </c>
      <c r="B4" t="inlineStr">
        <is>
          <t>Acces DOORS module .CUS</t>
        </is>
      </c>
      <c r="C4" t="inlineStr">
        <is>
          <t>Droits d'acces au module client demandes.</t>
        </is>
      </c>
      <c r="D4" t="inlineStr">
        <is>
          <t>SE</t>
        </is>
      </c>
      <c r="F4" t="inlineStr">
        <is>
          <t>BASSE</t>
        </is>
      </c>
      <c r="G4" t="inlineStr">
        <is>
          <t>CLOS</t>
        </is>
      </c>
      <c r="H4" t="inlineStr">
        <is>
          <t>2026-05-28</t>
        </is>
      </c>
      <c r="J4" s="6" t="inlineStr">
        <is>
          <t>28/05 : demande IT — 30/05 : acces obtenu, point clos</t>
        </is>
      </c>
    </row>
  </sheetData>
  <dataValidations count="3">
    <dataValidation sqref="D2:D60" showDropDown="0" showInputMessage="0" showErrorMessage="0" allowBlank="1" type="list">
      <formula1>"SE,FOURNISSEUR,EXPERT,AT,CLIENT,AUTRE"</formula1>
    </dataValidation>
    <dataValidation sqref="F2:F60" showDropDown="0" showInputMessage="0" showErrorMessage="0" allowBlank="1" type="list">
      <formula1>"BASSE,MOYENNE,HAUTE"</formula1>
    </dataValidation>
    <dataValidation sqref="G2:G60" showDropDown="0" showInputMessage="0" showErrorMessage="0" allowBlank="1" type="list">
      <formula1>"OUVERT,CLOS"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4" customWidth="1" min="3" max="3"/>
  </cols>
  <sheetData>
    <row r="1">
      <c r="A1" s="3" t="inlineStr">
        <is>
          <t>KPI — calculés par ExoSync à chaque synchronisation (ne pas saisir)</t>
        </is>
      </c>
    </row>
    <row r="3">
      <c r="A3" s="2" t="inlineStr">
        <is>
          <t>Avancement UO (%)</t>
        </is>
      </c>
      <c r="B3" t="n">
        <v>45</v>
      </c>
      <c r="C3" s="7" t="inlineStr">
        <is>
          <t>Moyenne des avancements pondérée par les poids (activités applicables)</t>
        </is>
      </c>
    </row>
    <row r="4">
      <c r="A4" s="2" t="inlineStr">
        <is>
          <t>Heures consommées</t>
        </is>
      </c>
      <c r="B4" t="n">
        <v>59</v>
      </c>
      <c r="C4" s="7" t="inlineStr">
        <is>
          <t>Somme des heures consommées (activités applicables)</t>
        </is>
      </c>
    </row>
    <row r="5">
      <c r="A5" s="2" t="inlineStr">
        <is>
          <t>Points ouverts</t>
        </is>
      </c>
      <c r="B5" t="n">
        <v>2</v>
      </c>
      <c r="C5" s="7" t="inlineStr">
        <is>
          <t>Nombre de points OIL au statut OUVERT</t>
        </is>
      </c>
    </row>
    <row r="6">
      <c r="A6" s="2" t="inlineStr">
        <is>
          <t>Points fermés</t>
        </is>
      </c>
      <c r="B6" t="n">
        <v>1</v>
      </c>
      <c r="C6" s="7" t="inlineStr">
        <is>
          <t>Nombre de points OIL au statut CLOS</t>
        </is>
      </c>
    </row>
    <row r="7">
      <c r="A7" s="2" t="inlineStr">
        <is>
          <t>Points critiques ouverts</t>
        </is>
      </c>
      <c r="B7" t="n">
        <v>1</v>
      </c>
      <c r="C7" s="7" t="inlineStr">
        <is>
          <t>Points OUVERTS avec criticite = HAUTE</t>
        </is>
      </c>
    </row>
    <row r="8">
      <c r="A8" s="2" t="inlineStr">
        <is>
          <t>Dont balle chez fournisseur</t>
        </is>
      </c>
      <c r="B8" t="n">
        <v>1</v>
      </c>
      <c r="C8" s="7" t="inlineStr">
        <is>
          <t>Points OUVERTS avec en_action = FOURNISSEUR</t>
        </is>
      </c>
    </row>
    <row r="9">
      <c r="A9" s="2" t="inlineStr">
        <is>
          <t>Dont balle chez expert</t>
        </is>
      </c>
      <c r="B9" t="n">
        <v>1</v>
      </c>
      <c r="C9" s="7" t="inlineStr">
        <is>
          <t>Points OUVERTS avec en_action = EXPERT</t>
        </is>
      </c>
    </row>
    <row r="10">
      <c r="A10" s="2" t="inlineStr">
        <is>
          <t>Heures vendues</t>
        </is>
      </c>
      <c r="B10">
        <f>heures_vendues</f>
        <v/>
      </c>
      <c r="C10" s="7" t="inlineStr">
        <is>
          <t>Lu depuis General (formule Excel)</t>
        </is>
      </c>
    </row>
    <row r="11">
      <c r="A11" s="2" t="inlineStr">
        <is>
          <t>Reste à faire total (h)</t>
        </is>
      </c>
      <c r="B11">
        <f>SUM(Activites!I2:I40)</f>
        <v/>
      </c>
      <c r="C11" s="7" t="inlineStr">
        <is>
          <t>Somme colonne reste_a_faire (formule Excel)</t>
        </is>
      </c>
    </row>
    <row r="12">
      <c r="A12" s="2" t="inlineStr">
        <is>
          <t>Heures estimées à terminaison (EAC)</t>
        </is>
      </c>
      <c r="B12">
        <f>kpi_h_conso+kpi_raf</f>
        <v/>
      </c>
      <c r="C12" s="7" t="inlineStr">
        <is>
          <t>EAC = consommé + reste à faire (formule Excel)</t>
        </is>
      </c>
    </row>
    <row r="13">
      <c r="A13" s="2" t="inlineStr">
        <is>
          <t>Dérive à terminaison (h)</t>
        </is>
      </c>
      <c r="B13">
        <f>kpi_eac-kpi_h_vendues</f>
        <v/>
      </c>
      <c r="C13" s="7" t="inlineStr">
        <is>
          <t>EAC − heures vendues : &gt;0 = dépassement prévu (formule Excel)</t>
        </is>
      </c>
    </row>
    <row r="14">
      <c r="A14" s="2" t="inlineStr">
        <is>
          <t>Santé</t>
        </is>
      </c>
      <c r="B14">
        <f>IF(kpi_po_critiques&gt;0,"ROUGE",IF(kpi_po_ouverts&gt;0,"ORANGE","VERT"))</f>
        <v/>
      </c>
      <c r="C14" s="7" t="inlineStr">
        <is>
          <t>ROUGE si point critique ouvert · ORANGE si point ouvert · VERT sinon (formule Excel)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Dashboard — L09U1 · CFL 2400 · Climatisation · Jean Dujardin</t>
        </is>
      </c>
    </row>
    <row r="4">
      <c r="A4" s="8" t="inlineStr">
        <is>
          <t>AVANCEMENT UO</t>
        </is>
      </c>
      <c r="C4" s="8" t="inlineStr">
        <is>
          <t>HEURES</t>
        </is>
      </c>
      <c r="E4" s="8" t="inlineStr">
        <is>
          <t>POINTS OUVERTS</t>
        </is>
      </c>
      <c r="G4" s="8" t="inlineStr">
        <is>
          <t>ATTENTE FOURN.</t>
        </is>
      </c>
    </row>
    <row r="6">
      <c r="A6" s="9">
        <f>kpi_avancement&amp;" %"</f>
        <v/>
      </c>
      <c r="C6" s="9">
        <f>kpi_h_conso&amp;" / "&amp;heures_vendues&amp;" h"</f>
        <v/>
      </c>
      <c r="E6" s="9">
        <f>kpi_po_ouverts</f>
        <v/>
      </c>
      <c r="G6" s="9">
        <f>kpi_po_fournisseur</f>
        <v/>
      </c>
    </row>
    <row r="8">
      <c r="A8" s="8" t="inlineStr">
        <is>
          <t>SANTÉ</t>
        </is>
      </c>
      <c r="C8" s="8" t="inlineStr">
        <is>
          <t>EAC (h)</t>
        </is>
      </c>
      <c r="E8" s="8" t="inlineStr">
        <is>
          <t>DÉRIVE (h)</t>
        </is>
      </c>
      <c r="G8" s="8" t="inlineStr">
        <is>
          <t>PTS CRITIQUES</t>
        </is>
      </c>
    </row>
    <row r="10">
      <c r="A10" s="9">
        <f>kpi_sante</f>
        <v/>
      </c>
      <c r="C10" s="9">
        <f>kpi_eac</f>
        <v/>
      </c>
      <c r="E10" s="9">
        <f>kpi_derive</f>
        <v/>
      </c>
      <c r="G10" s="9">
        <f>kpi_po_critiques</f>
        <v/>
      </c>
    </row>
    <row r="13">
      <c r="A13" s="7" t="inlineStr">
        <is>
          <t>Cette feuille est libre : l'ingénieur la customise (elle ne fait que LIRE l'onglet KPI).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Réservé : visualisation planning (formules à migrer depuis le template d'origine).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Organisation projet (statique v1 — renseignée à la création depuis le Catalogue Projets).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MANIFESTE_V=1</t>
        </is>
      </c>
    </row>
    <row r="2">
      <c r="A2" s="11" t="inlineStr">
        <is>
          <t>instruction</t>
        </is>
      </c>
    </row>
    <row r="3">
      <c r="A3" t="inlineStr">
        <is>
          <t>FILE_TYPE: uo_instance</t>
        </is>
      </c>
    </row>
    <row r="4">
      <c r="A4" t="inlineStr">
        <is>
          <t>FILE_ID: L09U1-CFL2400-CLIM</t>
        </is>
      </c>
    </row>
    <row r="5"/>
    <row r="6">
      <c r="A6" t="inlineStr">
        <is>
          <t># ── Lecture des donnees locales ─────────────────────────────</t>
        </is>
      </c>
    </row>
    <row r="7">
      <c r="A7" t="inlineStr">
        <is>
          <t>DEF $act = GET_TABLE(Activites, tbl_activites)</t>
        </is>
      </c>
    </row>
    <row r="8">
      <c r="A8" t="inlineStr">
        <is>
          <t>DEF $oil = GET_TABLE(OIL, tbl_oil)</t>
        </is>
      </c>
    </row>
    <row r="9">
      <c r="A9" t="inlineStr">
        <is>
          <t>DEF $liv = GET_TABLE(Livrables, tbl_livrables)</t>
        </is>
      </c>
    </row>
    <row r="10"/>
    <row r="11">
      <c r="A11" t="inlineStr">
        <is>
          <t># ── Sous-ensembles ──────────────────────────────────────────</t>
        </is>
      </c>
    </row>
    <row r="12">
      <c r="A12" t="inlineStr">
        <is>
          <t>DEF $actifs = COMPUTE(FILTER($act, applicable = "OUI"))</t>
        </is>
      </c>
    </row>
    <row r="13">
      <c r="A13" t="inlineStr">
        <is>
          <t>DEF $po_ouv = COMPUTE(FILTER($oil, statut = "OUVERT"))</t>
        </is>
      </c>
    </row>
    <row r="14"/>
    <row r="15">
      <c r="A15" t="inlineStr">
        <is>
          <t># ── KPI (pondere par poids : valeurs saisies, pas formules) ─</t>
        </is>
      </c>
    </row>
    <row r="16">
      <c r="A16" t="inlineStr">
        <is>
          <t>DEF $avancement = COMPUTE(MEAN_WEIGHTED($actifs.avancement, $actifs.poids))</t>
        </is>
      </c>
    </row>
    <row r="17">
      <c r="A17" t="inlineStr">
        <is>
          <t>DEF $h_conso = COMPUTE(SUM($actifs.heures_consommees))</t>
        </is>
      </c>
    </row>
    <row r="18">
      <c r="A18" t="inlineStr">
        <is>
          <t>DEF $po_ouverts = COMPUTE(COUNT_IF($oil.statut, "OUVERT"))</t>
        </is>
      </c>
    </row>
    <row r="19">
      <c r="A19" t="inlineStr">
        <is>
          <t>DEF $po_fermes = COMPUTE(COUNT_IF($oil.statut, "CLOS"))</t>
        </is>
      </c>
    </row>
    <row r="20">
      <c r="A20" t="inlineStr">
        <is>
          <t>DEF $po_critiques = COMPUTE(COUNT_IF($po_ouv.criticite, "HAUTE"))</t>
        </is>
      </c>
    </row>
    <row r="21">
      <c r="A21" t="inlineStr">
        <is>
          <t>DEF $po_fournisseur = COMPUTE(COUNT_IF($po_ouv.en_action, "FOURNISSEUR"))</t>
        </is>
      </c>
    </row>
    <row r="22">
      <c r="A22" t="inlineStr">
        <is>
          <t>DEF $po_expert = COMPUTE(COUNT_IF($po_ouv.en_action, "EXPERT"))</t>
        </is>
      </c>
    </row>
    <row r="23"/>
    <row r="24">
      <c r="A24" t="inlineStr">
        <is>
          <t># ── Regles de qualite ───────────────────────────────────────</t>
        </is>
      </c>
    </row>
    <row r="25">
      <c r="A25" t="inlineStr">
        <is>
          <t>VALIDATE $actifs.avancement : RANGE(0, 100)</t>
        </is>
      </c>
    </row>
    <row r="26">
      <c r="A26" t="inlineStr">
        <is>
          <t>VALIDATE $act.applicable : IN("OUI", "NON")</t>
        </is>
      </c>
    </row>
    <row r="27">
      <c r="A27" t="inlineStr">
        <is>
          <t>VALIDATE $oil.statut : IN("OUVERT", "CLOS")</t>
        </is>
      </c>
    </row>
    <row r="28"/>
    <row r="29">
      <c r="A29" t="inlineStr">
        <is>
          <t># ── Affichage local (onglet KPI) ────────────────────────────</t>
        </is>
      </c>
    </row>
    <row r="30">
      <c r="A30" t="inlineStr">
        <is>
          <t>BIND $avancement -&gt; KPI.kpi_avancement</t>
        </is>
      </c>
    </row>
    <row r="31">
      <c r="A31" t="inlineStr">
        <is>
          <t>BIND $h_conso -&gt; KPI.kpi_h_conso</t>
        </is>
      </c>
    </row>
    <row r="32">
      <c r="A32" t="inlineStr">
        <is>
          <t>BIND $po_ouverts -&gt; KPI.kpi_po_ouverts</t>
        </is>
      </c>
    </row>
    <row r="33">
      <c r="A33" t="inlineStr">
        <is>
          <t>BIND $po_fermes -&gt; KPI.kpi_po_fermes</t>
        </is>
      </c>
    </row>
    <row r="34">
      <c r="A34" t="inlineStr">
        <is>
          <t>BIND $po_critiques -&gt; KPI.kpi_po_critiques</t>
        </is>
      </c>
    </row>
    <row r="35">
      <c r="A35" t="inlineStr">
        <is>
          <t>BIND $po_fournisseur -&gt; KPI.kpi_po_fournisseur</t>
        </is>
      </c>
    </row>
    <row r="36">
      <c r="A36" t="inlineStr">
        <is>
          <t>BIND $po_expert -&gt; KPI.kpi_po_expert</t>
        </is>
      </c>
    </row>
    <row r="37"/>
    <row r="38">
      <c r="A38" t="inlineStr">
        <is>
          <t># ── Publication vers l'ecosysteme ───────────────────────────</t>
        </is>
      </c>
    </row>
    <row r="39">
      <c r="A39" t="inlineStr">
        <is>
          <t>PUSH $avancement -&gt; uo.L09U1-CFL2400-CLIM.avancement</t>
        </is>
      </c>
    </row>
    <row r="40">
      <c r="A40" t="inlineStr">
        <is>
          <t>PUSH $h_conso -&gt; uo.L09U1-CFL2400-CLIM.heures_consommees</t>
        </is>
      </c>
    </row>
    <row r="41">
      <c r="A41" t="inlineStr">
        <is>
          <t>PUSH $po_ouverts -&gt; uo.L09U1-CFL2400-CLIM.po_ouverts</t>
        </is>
      </c>
    </row>
    <row r="42">
      <c r="A42" t="inlineStr">
        <is>
          <t>PUSH $po_fermes -&gt; uo.L09U1-CFL2400-CLIM.po_fermes</t>
        </is>
      </c>
    </row>
    <row r="43">
      <c r="A43" t="inlineStr">
        <is>
          <t>PUSH $po_critiques -&gt; uo.L09U1-CFL2400-CLIM.po_critiques</t>
        </is>
      </c>
    </row>
    <row r="44">
      <c r="A44" t="inlineStr">
        <is>
          <t>PUSH $actifs -&gt; uo.L09U1-CFL2400-CLIM.activites</t>
        </is>
      </c>
    </row>
    <row r="45">
      <c r="A45" t="inlineStr">
        <is>
          <t>PUSH $oil -&gt; uo.L09U1-CFL2400-CLIM.points_ouverts</t>
        </is>
      </c>
    </row>
    <row r="46">
      <c r="A46" t="inlineStr">
        <is>
          <t>PUSH $liv -&gt; uo.L09U1-CFL2400-CLIM.livrables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niveau</t>
        </is>
      </c>
      <c r="C1" t="inlineStr">
        <is>
          <t>message</t>
        </is>
      </c>
    </row>
    <row r="2">
      <c r="A2" t="inlineStr">
        <is>
          <t>2026-06-11T18:28:37</t>
        </is>
      </c>
      <c r="B2" t="inlineStr">
        <is>
          <t>INFO</t>
        </is>
      </c>
      <c r="C2" t="inlineStr">
        <is>
          <t>PULL=0 COLLECT=0 PUSH=8 BIND=7 err=0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2026-06-11T16:28:36Z</dcterms:created>
  <dcterms:modified xmlns:dcterms="http://purl.org/dc/terms/" xmlns:xsi="http://www.w3.org/2001/XMLSchema-instance" xsi:type="dcterms:W3CDTF">2026-06-11T16:28:37Z</dcterms:modified>
</cp:coreProperties>
</file>