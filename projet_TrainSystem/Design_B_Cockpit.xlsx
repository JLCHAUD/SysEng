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_data" sheetId="2" state="hidden" r:id="rId2"/>
    <sheet xmlns:r="http://schemas.openxmlformats.org/officeDocument/2006/relationships" name="Activites" sheetId="3" state="visible" r:id="rId3"/>
    <sheet xmlns:r="http://schemas.openxmlformats.org/officeDocument/2006/relationships" name="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B5D4F4"/>
      <sz val="9"/>
    </font>
    <font>
      <name val="Segoe UI"/>
      <b val="1"/>
      <color rgb="00FFFFFF"/>
      <sz val="12"/>
    </font>
    <font>
      <name val="Segoe UI"/>
      <b val="1"/>
      <color rgb="00B5D4F4"/>
      <sz val="9"/>
    </font>
    <font>
      <name val="Segoe UI"/>
      <b val="1"/>
      <color rgb="00FFFFFF"/>
      <sz val="11"/>
    </font>
    <font>
      <name val="Segoe UI"/>
      <b val="1"/>
      <color rgb="005F5E5A"/>
      <sz val="9"/>
    </font>
    <font>
      <name val="Segoe UI"/>
      <b val="1"/>
      <color rgb="000C447C"/>
      <sz val="20"/>
    </font>
    <font>
      <name val="Segoe UI"/>
      <color rgb="005F5E5A"/>
      <sz val="8.5"/>
    </font>
    <font>
      <name val="Segoe UI"/>
      <b val="1"/>
      <color rgb="002C2C2A"/>
      <sz val="20"/>
    </font>
    <font>
      <name val="Segoe UI"/>
      <b val="1"/>
      <color rgb="00854F0B"/>
      <sz val="20"/>
    </font>
    <font>
      <name val="Segoe UI"/>
      <b val="1"/>
      <color rgb="0027500A"/>
      <sz val="20"/>
    </font>
    <font>
      <name val="Segoe UI"/>
      <b val="1"/>
      <color rgb="000C447C"/>
      <sz val="11"/>
    </font>
    <font>
      <name val="Segoe UI"/>
      <color rgb="002C2C2A"/>
      <sz val="10"/>
    </font>
    <font>
      <name val="Segoe UI"/>
      <b val="1"/>
      <color rgb="000C447C"/>
      <sz val="10"/>
    </font>
    <font>
      <name val="Segoe UI"/>
      <color rgb="002C2C2A"/>
      <sz val="9"/>
    </font>
    <font>
      <name val="Segoe UI"/>
      <b val="1"/>
      <color rgb="00854F0B"/>
      <sz val="10"/>
    </font>
    <font>
      <name val="Segoe UI"/>
      <b val="1"/>
      <color rgb="00791F1F"/>
      <sz val="10"/>
    </font>
    <font>
      <name val="Segoe UI"/>
      <b val="1"/>
      <color rgb="0027500A"/>
      <sz val="10"/>
    </font>
    <font>
      <name val="Segoe UI"/>
      <i val="1"/>
      <color rgb="005F5E5A"/>
      <sz val="8.5"/>
    </font>
    <font>
      <name val="Segoe U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185FA5"/>
      </patternFill>
    </fill>
    <fill>
      <patternFill patternType="solid">
        <fgColor rgb="00E24B4A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EAF3DE"/>
      </patternFill>
    </fill>
  </fills>
  <borders count="43">
    <border>
      <left/>
      <right/>
      <top/>
      <bottom/>
      <diagonal/>
    </border>
    <border>
      <left style="thin">
        <color rgb="00B5D4F4"/>
      </left>
      <right/>
      <top style="thin">
        <color rgb="00B5D4F4"/>
      </top>
      <bottom/>
    </border>
    <border>
      <left/>
      <right/>
      <top style="thin">
        <color rgb="00B5D4F4"/>
      </top>
      <bottom/>
    </border>
    <border>
      <left/>
      <right style="thin">
        <color rgb="00B5D4F4"/>
      </right>
      <top style="thin">
        <color rgb="00B5D4F4"/>
      </top>
      <bottom/>
    </border>
    <border>
      <left style="thin">
        <color rgb="00B5D4F4"/>
      </left>
      <right/>
      <top/>
      <bottom/>
    </border>
    <border>
      <left/>
      <right/>
      <top/>
      <bottom/>
    </border>
    <border>
      <left/>
      <right style="thin">
        <color rgb="00B5D4F4"/>
      </right>
      <top/>
      <bottom/>
    </border>
    <border>
      <left style="thin">
        <color rgb="00B5D4F4"/>
      </left>
      <right/>
      <top/>
      <bottom style="thin">
        <color rgb="00B5D4F4"/>
      </bottom>
    </border>
    <border>
      <left/>
      <right/>
      <top/>
      <bottom style="thin">
        <color rgb="00B5D4F4"/>
      </bottom>
    </border>
    <border>
      <left/>
      <right style="thin">
        <color rgb="00B5D4F4"/>
      </right>
      <top/>
      <bottom style="thin">
        <color rgb="00B5D4F4"/>
      </bottom>
    </border>
    <border>
      <left style="thin">
        <color rgb="00B5D4F4"/>
      </left>
      <right style="thin">
        <color rgb="00B5D4F4"/>
      </right>
      <top/>
      <bottom/>
    </border>
    <border>
      <left/>
      <right style="thin">
        <color rgb="00B5D4F4"/>
      </right>
      <top/>
      <bottom/>
      <diagonal/>
    </border>
    <border>
      <left style="thin">
        <color rgb="00B5D4F4"/>
      </left>
      <right style="thin">
        <color rgb="00B5D4F4"/>
      </right>
      <top/>
      <bottom style="thin">
        <color rgb="00B5D4F4"/>
      </bottom>
    </border>
    <border>
      <left/>
      <right/>
      <top/>
      <bottom style="thin">
        <color rgb="00B5D4F4"/>
      </bottom>
      <diagonal/>
    </border>
    <border>
      <left/>
      <right style="thin">
        <color rgb="00B5D4F4"/>
      </right>
      <top/>
      <bottom style="thin">
        <color rgb="00B5D4F4"/>
      </bottom>
      <diagonal/>
    </border>
    <border>
      <left style="thin">
        <color rgb="00D3D1C7"/>
      </left>
      <right/>
      <top style="thin">
        <color rgb="00D3D1C7"/>
      </top>
      <bottom/>
    </border>
    <border>
      <left/>
      <right/>
      <top style="thin">
        <color rgb="00D3D1C7"/>
      </top>
      <bottom/>
    </border>
    <border>
      <left/>
      <right style="thin">
        <color rgb="00D3D1C7"/>
      </right>
      <top style="thin">
        <color rgb="00D3D1C7"/>
      </top>
      <bottom/>
    </border>
    <border>
      <left style="thin">
        <color rgb="00D3D1C7"/>
      </left>
      <right/>
      <top/>
      <bottom/>
    </border>
    <border>
      <left/>
      <right style="thin">
        <color rgb="00D3D1C7"/>
      </right>
      <top/>
      <bottom/>
    </border>
    <border>
      <left style="thin">
        <color rgb="00D3D1C7"/>
      </left>
      <right/>
      <top/>
      <bottom style="thin">
        <color rgb="00D3D1C7"/>
      </bottom>
    </border>
    <border>
      <left/>
      <right/>
      <top/>
      <bottom style="thin">
        <color rgb="00D3D1C7"/>
      </bottom>
    </border>
    <border>
      <left/>
      <right style="thin">
        <color rgb="00D3D1C7"/>
      </right>
      <top/>
      <bottom style="thin">
        <color rgb="00D3D1C7"/>
      </bottom>
    </border>
    <border>
      <left style="thin">
        <color rgb="00D3D1C7"/>
      </left>
      <right style="thin">
        <color rgb="00D3D1C7"/>
      </right>
      <top/>
      <bottom/>
    </border>
    <border>
      <left/>
      <right style="thin">
        <color rgb="00D3D1C7"/>
      </right>
      <top/>
      <bottom/>
      <diagonal/>
    </border>
    <border>
      <left style="thin">
        <color rgb="00D3D1C7"/>
      </left>
      <right style="thin">
        <color rgb="00D3D1C7"/>
      </right>
      <top/>
      <bottom style="thin">
        <color rgb="00D3D1C7"/>
      </bottom>
    </border>
    <border>
      <left/>
      <right/>
      <top/>
      <bottom style="thin">
        <color rgb="00D3D1C7"/>
      </bottom>
      <diagonal/>
    </border>
    <border>
      <left/>
      <right style="thin">
        <color rgb="00D3D1C7"/>
      </right>
      <top/>
      <bottom style="thin">
        <color rgb="00D3D1C7"/>
      </bottom>
      <diagonal/>
    </border>
    <border>
      <left style="thin">
        <color rgb="00FAC775"/>
      </left>
      <right/>
      <top style="thin">
        <color rgb="00FAC775"/>
      </top>
      <bottom/>
    </border>
    <border>
      <left/>
      <right/>
      <top style="thin">
        <color rgb="00FAC775"/>
      </top>
      <bottom/>
    </border>
    <border>
      <left/>
      <right style="thin">
        <color rgb="00FAC775"/>
      </right>
      <top style="thin">
        <color rgb="00FAC775"/>
      </top>
      <bottom/>
    </border>
    <border>
      <left style="thin">
        <color rgb="00FAC775"/>
      </left>
      <right/>
      <top/>
      <bottom/>
    </border>
    <border>
      <left/>
      <right style="thin">
        <color rgb="00FAC775"/>
      </right>
      <top/>
      <bottom/>
    </border>
    <border>
      <left style="thin">
        <color rgb="00FAC775"/>
      </left>
      <right/>
      <top/>
      <bottom style="thin">
        <color rgb="00FAC775"/>
      </bottom>
    </border>
    <border>
      <left/>
      <right/>
      <top/>
      <bottom style="thin">
        <color rgb="00FAC775"/>
      </bottom>
    </border>
    <border>
      <left/>
      <right style="thin">
        <color rgb="00FAC775"/>
      </right>
      <top/>
      <bottom style="thin">
        <color rgb="00FAC775"/>
      </bottom>
    </border>
    <border>
      <left style="thin">
        <color rgb="00FAC775"/>
      </left>
      <right style="thin">
        <color rgb="00FAC775"/>
      </right>
      <top/>
      <bottom/>
    </border>
    <border>
      <left/>
      <right style="thin">
        <color rgb="00FAC775"/>
      </right>
      <top/>
      <bottom/>
      <diagonal/>
    </border>
    <border>
      <left style="thin">
        <color rgb="00FAC775"/>
      </left>
      <right style="thin">
        <color rgb="00FAC775"/>
      </right>
      <top/>
      <bottom style="thin">
        <color rgb="00FAC775"/>
      </bottom>
    </border>
    <border>
      <left/>
      <right/>
      <top/>
      <bottom style="thin">
        <color rgb="00FAC775"/>
      </bottom>
      <diagonal/>
    </border>
    <border>
      <left/>
      <right style="thin">
        <color rgb="00FAC775"/>
      </right>
      <top/>
      <bottom style="thin">
        <color rgb="00FAC775"/>
      </bottom>
      <diagonal/>
    </border>
    <border>
      <bottom style="thin">
        <color rgb="00D3D1C7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2" borderId="0" pivotButton="0" quotePrefix="0" xfId="0"/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15" pivotButton="0" quotePrefix="0" xfId="0"/>
    <xf numFmtId="0" fontId="0" fillId="5" borderId="16" pivotButton="0" quotePrefix="0" xfId="0"/>
    <xf numFmtId="0" fontId="0" fillId="5" borderId="17" pivotButton="0" quotePrefix="0" xfId="0"/>
    <xf numFmtId="0" fontId="0" fillId="5" borderId="28" pivotButton="0" quotePrefix="0" xfId="0"/>
    <xf numFmtId="0" fontId="0" fillId="5" borderId="29" pivotButton="0" quotePrefix="0" xfId="0"/>
    <xf numFmtId="0" fontId="0" fillId="5" borderId="30" pivotButton="0" quotePrefix="0" xfId="0"/>
    <xf numFmtId="0" fontId="6" fillId="5" borderId="10" applyAlignment="1" pivotButton="0" quotePrefix="0" xfId="0">
      <alignment horizontal="center" vertical="center"/>
    </xf>
    <xf numFmtId="0" fontId="0" fillId="0" borderId="11" pivotButton="0" quotePrefix="0" xfId="0"/>
    <xf numFmtId="0" fontId="6" fillId="5" borderId="23" applyAlignment="1" pivotButton="0" quotePrefix="0" xfId="0">
      <alignment horizontal="center" vertical="center"/>
    </xf>
    <xf numFmtId="0" fontId="0" fillId="0" borderId="24" pivotButton="0" quotePrefix="0" xfId="0"/>
    <xf numFmtId="0" fontId="6" fillId="5" borderId="36" applyAlignment="1" pivotButton="0" quotePrefix="0" xfId="0">
      <alignment horizontal="center" vertical="center"/>
    </xf>
    <xf numFmtId="0" fontId="0" fillId="0" borderId="37" pivotButton="0" quotePrefix="0" xfId="0"/>
    <xf numFmtId="0" fontId="7" fillId="5" borderId="10" applyAlignment="1" pivotButton="0" quotePrefix="0" xfId="0">
      <alignment horizontal="center" vertical="center"/>
    </xf>
    <xf numFmtId="0" fontId="9" fillId="5" borderId="23" applyAlignment="1" pivotButton="0" quotePrefix="0" xfId="0">
      <alignment horizontal="center" vertical="center"/>
    </xf>
    <xf numFmtId="0" fontId="10" fillId="5" borderId="36" applyAlignment="1" pivotButton="0" quotePrefix="0" xfId="0">
      <alignment horizontal="center" vertical="center"/>
    </xf>
    <xf numFmtId="0" fontId="11" fillId="5" borderId="23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top"/>
    </xf>
    <xf numFmtId="0" fontId="0" fillId="0" borderId="13" pivotButton="0" quotePrefix="0" xfId="0"/>
    <xf numFmtId="0" fontId="0" fillId="0" borderId="14" pivotButton="0" quotePrefix="0" xfId="0"/>
    <xf numFmtId="0" fontId="8" fillId="5" borderId="25" applyAlignment="1" pivotButton="0" quotePrefix="0" xfId="0">
      <alignment horizontal="center" vertical="top"/>
    </xf>
    <xf numFmtId="0" fontId="0" fillId="0" borderId="26" pivotButton="0" quotePrefix="0" xfId="0"/>
    <xf numFmtId="0" fontId="0" fillId="0" borderId="27" pivotButton="0" quotePrefix="0" xfId="0"/>
    <xf numFmtId="0" fontId="8" fillId="5" borderId="38" applyAlignment="1" pivotButton="0" quotePrefix="0" xfId="0">
      <alignment horizontal="center" vertical="top"/>
    </xf>
    <xf numFmtId="0" fontId="0" fillId="0" borderId="39" pivotButton="0" quotePrefix="0" xfId="0"/>
    <xf numFmtId="0" fontId="0" fillId="0" borderId="40" pivotButton="0" quotePrefix="0" xfId="0"/>
    <xf numFmtId="0" fontId="12" fillId="0" borderId="0" pivotButton="0" quotePrefix="0" xfId="0"/>
    <xf numFmtId="0" fontId="13" fillId="0" borderId="41" pivotButton="0" quotePrefix="0" xfId="0"/>
    <xf numFmtId="0" fontId="0" fillId="0" borderId="41" pivotButton="0" quotePrefix="0" xfId="0"/>
    <xf numFmtId="0" fontId="14" fillId="0" borderId="41" applyAlignment="1" pivotButton="0" quotePrefix="0" xfId="0">
      <alignment horizontal="center"/>
    </xf>
    <xf numFmtId="0" fontId="15" fillId="0" borderId="41" applyAlignment="1" pivotButton="0" quotePrefix="0" xfId="0">
      <alignment horizontal="center"/>
    </xf>
    <xf numFmtId="0" fontId="16" fillId="6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9" fillId="0" borderId="0" pivotButton="0" quotePrefix="0" xfId="0"/>
    <xf numFmtId="0" fontId="6" fillId="0" borderId="41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right"/>
    </xf>
    <xf numFmtId="0" fontId="20" fillId="2" borderId="0" applyAlignment="1" pivotButton="0" quotePrefix="0" xfId="0">
      <alignment horizontal="center" vertical="center"/>
    </xf>
    <xf numFmtId="0" fontId="13" fillId="0" borderId="42" applyAlignment="1" pivotButton="0" quotePrefix="0" xfId="0">
      <alignment horizontal="center" vertical="center"/>
    </xf>
    <xf numFmtId="0" fontId="13" fillId="0" borderId="42" applyAlignment="1" pivotButton="0" quotePrefix="0" xfId="0">
      <alignment horizontal="left" vertical="center"/>
    </xf>
    <xf numFmtId="164" fontId="13" fillId="0" borderId="42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6">
    <dxf>
      <font>
        <name val="Segoe UI"/>
        <b val="1"/>
        <color rgb="0027500A"/>
        <sz val="10"/>
      </font>
      <fill>
        <patternFill patternType="solid">
          <fgColor rgb="00EAF3DE"/>
        </patternFill>
      </fill>
    </dxf>
    <dxf>
      <font>
        <name val="Segoe UI"/>
        <b val="1"/>
        <color rgb="000C447C"/>
        <sz val="10"/>
      </font>
      <fill>
        <patternFill patternType="solid">
          <fgColor rgb="00E6F1FB"/>
        </patternFill>
      </fill>
    </dxf>
    <dxf>
      <font>
        <name val="Segoe UI"/>
        <b val="1"/>
        <color rgb="00854F0B"/>
        <sz val="10"/>
      </font>
      <fill>
        <patternFill patternType="solid">
          <fgColor rgb="00FAEEDA"/>
        </patternFill>
      </fill>
    </dxf>
    <dxf>
      <font>
        <name val="Segoe UI"/>
        <color rgb="005F5E5A"/>
        <sz val="10"/>
      </font>
      <fill>
        <patternFill patternType="solid">
          <fgColor rgb="00F5F4F0"/>
        </patternFill>
      </fill>
    </dxf>
    <dxf>
      <font>
        <name val="Segoe UI"/>
        <b val="1"/>
        <color rgb="00791F1F"/>
        <sz val="10"/>
      </font>
      <fill>
        <patternFill patternType="solid">
          <fgColor rgb="00FCEBEB"/>
        </patternFill>
      </fill>
    </dxf>
    <dxf>
      <font>
        <name val="Segoe UI"/>
        <color rgb="0027500A"/>
        <sz val="10"/>
      </font>
      <fill>
        <patternFill patternType="solid">
          <fgColor rgb="00EAF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Avancement — 45 %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78AD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FEDE7"/>
              </a:solidFill>
              <a:ln xmlns:a="http://schemas.openxmlformats.org/drawingml/2006/main">
                <a:prstDash val="solid"/>
              </a:ln>
            </spPr>
          </dPt>
          <val>
            <numRef>
              <f>'_chart_data'!$B$1:$B$2</f>
            </numRef>
          </val>
        </ser>
        <firstSliceAng val="0"/>
        <holeSize val="60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Heures — 30 %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8878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FEDE7"/>
              </a:solidFill>
              <a:ln xmlns:a="http://schemas.openxmlformats.org/drawingml/2006/main">
                <a:prstDash val="solid"/>
              </a:ln>
            </spPr>
          </dPt>
          <val>
            <numRef>
              <f>'_chart_data'!$B$4:$B$5</f>
            </numRef>
          </val>
        </ser>
        <firstSliceAng val="0"/>
        <holeSize val="60"/>
      </doughnut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Livrables — 33 %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63992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FEDE7"/>
              </a:solidFill>
              <a:ln xmlns:a="http://schemas.openxmlformats.org/drawingml/2006/main">
                <a:prstDash val="solid"/>
              </a:ln>
            </spPr>
          </dPt>
          <val>
            <numRef>
              <f>'_chart_data'!$B$7:$B$8</f>
            </numRef>
          </val>
        </ser>
        <firstSliceAng val="0"/>
        <holeSize val="60"/>
      </doughnut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Données d'entrée — 67 %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F9F2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FEDE7"/>
              </a:solidFill>
              <a:ln xmlns:a="http://schemas.openxmlformats.org/drawingml/2006/main">
                <a:prstDash val="solid"/>
              </a:ln>
            </spPr>
          </dPt>
          <val>
            <numRef>
              <f>'_chart_data'!$B$10:$B$11</f>
            </numRef>
          </val>
        </ser>
        <firstSliceAng val="0"/>
        <holeSize val="60"/>
      </doughnut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1655999" cy="1655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1655999" cy="1655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10</row>
      <rowOff>0</rowOff>
    </from>
    <ext cx="1655999" cy="1655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10</row>
      <rowOff>0</rowOff>
    </from>
    <ext cx="1655999" cy="1655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Q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</cols>
  <sheetData>
    <row r="1" ht="24" customHeight="1">
      <c r="A1" s="1" t="n"/>
      <c r="B1" s="2" t="inlineStr">
        <is>
          <t>UO L09U1 — Préparation et passage des IDR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3" t="inlineStr">
        <is>
          <t>Cockpit de pilotage · J. Dujardin</t>
        </is>
      </c>
      <c r="M1" s="1" t="n"/>
      <c r="N1" s="1" t="n"/>
      <c r="O1" s="1" t="n"/>
      <c r="P1" s="1" t="n"/>
      <c r="Q1" s="1" t="n"/>
    </row>
    <row r="2" ht="22" customHeight="1">
      <c r="A2" s="1" t="n"/>
      <c r="B2" s="4" t="inlineStr">
        <is>
          <t>⚙  SYSTÈME : CLIMATISATION</t>
        </is>
      </c>
      <c r="G2" s="1" t="n"/>
      <c r="H2" s="4" t="inlineStr">
        <is>
          <t>▣  PROJET : PROJET DEMO</t>
        </is>
      </c>
      <c r="M2" s="1" t="n"/>
      <c r="N2" s="5" t="inlineStr">
        <is>
          <t>SANTÉ ROUGE</t>
        </is>
      </c>
      <c r="Q2" s="1" t="n"/>
    </row>
    <row r="3" ht="18" customHeight="1">
      <c r="A3" s="1" t="n"/>
      <c r="B3" s="6">
        <f>HYPERLINK("#Dashboard!A1","⌂ Dashboard")</f>
        <v/>
      </c>
      <c r="D3" s="6">
        <f>HYPERLINK("#Activites!A1","✎ Activités")</f>
        <v/>
      </c>
      <c r="F3" s="6">
        <f>HYPERLINK("#OIL!A1","⚑ OIL")</f>
        <v/>
      </c>
      <c r="H3" s="1" t="n"/>
      <c r="I3" s="1" t="n"/>
      <c r="J3" s="1" t="n"/>
      <c r="K3" s="1" t="n"/>
      <c r="L3" s="1" t="n"/>
      <c r="M3" s="1" t="n"/>
      <c r="Q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6" ht="18" customHeight="1">
      <c r="B6" s="7" t="n"/>
      <c r="C6" s="8" t="n"/>
      <c r="D6" s="9" t="n"/>
      <c r="E6" s="10" t="n"/>
      <c r="F6" s="11" t="n"/>
      <c r="G6" s="12" t="n"/>
      <c r="H6" s="13" t="n"/>
      <c r="I6" s="14" t="n"/>
      <c r="J6" s="15" t="n"/>
      <c r="K6" s="10" t="n"/>
      <c r="L6" s="11" t="n"/>
      <c r="M6" s="12" t="n"/>
    </row>
    <row r="7" ht="18" customHeight="1">
      <c r="B7" s="16" t="inlineStr">
        <is>
          <t>AVANCEMENT UO</t>
        </is>
      </c>
      <c r="D7" s="17" t="n"/>
      <c r="E7" s="18" t="inlineStr">
        <is>
          <t>CONSOMMÉ</t>
        </is>
      </c>
      <c r="G7" s="19" t="n"/>
      <c r="H7" s="20" t="inlineStr">
        <is>
          <t>POINTS OUVERTS</t>
        </is>
      </c>
      <c r="J7" s="21" t="n"/>
      <c r="K7" s="18" t="inlineStr">
        <is>
          <t>EAC</t>
        </is>
      </c>
      <c r="M7" s="19" t="n"/>
    </row>
    <row r="8" ht="18" customHeight="1">
      <c r="B8" s="22" t="inlineStr">
        <is>
          <t>45,0 %</t>
        </is>
      </c>
      <c r="D8" s="17" t="n"/>
      <c r="E8" s="23" t="inlineStr">
        <is>
          <t>29,5 %</t>
        </is>
      </c>
      <c r="G8" s="19" t="n"/>
      <c r="H8" s="24" t="inlineStr">
        <is>
          <t>2  ▲1</t>
        </is>
      </c>
      <c r="J8" s="21" t="n"/>
      <c r="K8" s="25" t="inlineStr">
        <is>
          <t>169 h</t>
        </is>
      </c>
      <c r="M8" s="19" t="n"/>
    </row>
    <row r="9" ht="18" customHeight="1">
      <c r="B9" s="26" t="inlineStr">
        <is>
          <t>pondéré par poids</t>
        </is>
      </c>
      <c r="C9" s="27" t="n"/>
      <c r="D9" s="28" t="n"/>
      <c r="E9" s="29" t="inlineStr">
        <is>
          <t>59 h / 200 h</t>
        </is>
      </c>
      <c r="F9" s="30" t="n"/>
      <c r="G9" s="31" t="n"/>
      <c r="H9" s="32" t="inlineStr">
        <is>
          <t>dont 1 critique</t>
        </is>
      </c>
      <c r="I9" s="33" t="n"/>
      <c r="J9" s="34" t="n"/>
      <c r="K9" s="29" t="inlineStr">
        <is>
          <t>dérive −31 h</t>
        </is>
      </c>
      <c r="L9" s="30" t="n"/>
      <c r="M9" s="31" t="n"/>
    </row>
    <row r="21">
      <c r="B21" s="35" t="inlineStr">
        <is>
          <t>Prochains livrables</t>
        </is>
      </c>
    </row>
    <row r="22" ht="19" customHeight="1">
      <c r="B22" s="36" t="inlineStr">
        <is>
          <t>SAA.RS — Requirement Spec</t>
        </is>
      </c>
      <c r="C22" s="37" t="n"/>
      <c r="D22" s="37" t="n"/>
      <c r="E22" s="37" t="n"/>
      <c r="F22" s="37" t="n"/>
      <c r="G22" s="37" t="n"/>
      <c r="H22" s="37" t="n"/>
      <c r="I22" s="38" t="inlineStr">
        <is>
          <t>M3</t>
        </is>
      </c>
      <c r="J22" s="39" t="inlineStr">
        <is>
          <t>EN_COURS</t>
        </is>
      </c>
      <c r="K22" s="37" t="n"/>
    </row>
    <row r="23" ht="19" customHeight="1">
      <c r="B23" s="36" t="inlineStr">
        <is>
          <t>RSS.RS — Subsystem Spec</t>
        </is>
      </c>
      <c r="C23" s="37" t="n"/>
      <c r="D23" s="37" t="n"/>
      <c r="E23" s="37" t="n"/>
      <c r="F23" s="37" t="n"/>
      <c r="G23" s="37" t="n"/>
      <c r="H23" s="37" t="n"/>
      <c r="I23" s="38" t="inlineStr">
        <is>
          <t>M3</t>
        </is>
      </c>
      <c r="J23" s="39" t="inlineStr">
        <is>
          <t>A_FAIRE</t>
        </is>
      </c>
      <c r="K23" s="37" t="n"/>
    </row>
    <row r="24" ht="19" customHeight="1">
      <c r="B24" s="36" t="inlineStr">
        <is>
          <t>DR.RS — Design Review file</t>
        </is>
      </c>
      <c r="C24" s="37" t="n"/>
      <c r="D24" s="37" t="n"/>
      <c r="E24" s="37" t="n"/>
      <c r="F24" s="37" t="n"/>
      <c r="G24" s="37" t="n"/>
      <c r="H24" s="37" t="n"/>
      <c r="I24" s="38" t="inlineStr">
        <is>
          <t>—</t>
        </is>
      </c>
      <c r="J24" s="39" t="inlineStr">
        <is>
          <t>A_FAIRE</t>
        </is>
      </c>
      <c r="K24" s="37" t="n"/>
    </row>
    <row r="26">
      <c r="B26" s="35" t="inlineStr">
        <is>
          <t>La balle est chez…</t>
        </is>
      </c>
    </row>
    <row r="27" ht="22" customHeight="1">
      <c r="B27" s="40" t="inlineStr">
        <is>
          <t>FOURNISSEUR : 1</t>
        </is>
      </c>
      <c r="E27" s="41" t="inlineStr">
        <is>
          <t>EXPERT : 1</t>
        </is>
      </c>
      <c r="H27" s="42" t="inlineStr">
        <is>
          <t>NOUS (SE) : 0</t>
        </is>
      </c>
    </row>
    <row r="29">
      <c r="B29" s="35" t="inlineStr">
        <is>
          <t>Avancement des activités en cours</t>
        </is>
      </c>
      <c r="I29" s="43" t="inlineStr">
        <is>
          <t>(les activités terminées ne sont pas affichées)</t>
        </is>
      </c>
    </row>
    <row r="30">
      <c r="B30" s="44" t="inlineStr">
        <is>
          <t>activité</t>
        </is>
      </c>
      <c r="C30" s="37" t="n"/>
      <c r="D30" s="37" t="n"/>
      <c r="E30" s="37" t="n"/>
      <c r="F30" s="37" t="n"/>
      <c r="G30" s="37" t="n"/>
      <c r="H30" s="37" t="n"/>
      <c r="I30" s="44" t="inlineStr">
        <is>
          <t>statut</t>
        </is>
      </c>
      <c r="J30" s="37" t="n"/>
      <c r="K30" s="44" t="inlineStr">
        <is>
          <t>avancement</t>
        </is>
      </c>
      <c r="L30" s="37" t="n"/>
      <c r="M30" s="37" t="n"/>
      <c r="N30" s="44" t="inlineStr">
        <is>
          <t>heures</t>
        </is>
      </c>
    </row>
    <row r="31" ht="19" customHeight="1">
      <c r="B31" s="45" t="inlineStr">
        <is>
          <t>ACT-02 — Specification des exigences</t>
        </is>
      </c>
      <c r="I31" s="46" t="inlineStr">
        <is>
          <t>EN_COURS</t>
        </is>
      </c>
      <c r="K31" s="46" t="n">
        <v>60</v>
      </c>
      <c r="N31" s="47" t="n">
        <v>28.5</v>
      </c>
    </row>
    <row r="32" ht="19" customHeight="1">
      <c r="B32" s="45" t="inlineStr">
        <is>
          <t>ACT-03 — Definition d'architecture</t>
        </is>
      </c>
      <c r="I32" s="46" t="inlineStr">
        <is>
          <t>EN_COURS</t>
        </is>
      </c>
      <c r="K32" s="46" t="n">
        <v>35</v>
      </c>
      <c r="N32" s="47" t="n">
        <v>12</v>
      </c>
    </row>
    <row r="33" ht="19" customHeight="1">
      <c r="B33" s="45" t="inlineStr">
        <is>
          <t>ACT-04 — Calculs et simulations</t>
        </is>
      </c>
      <c r="I33" s="46" t="inlineStr">
        <is>
          <t>A_FAIRE</t>
        </is>
      </c>
      <c r="K33" s="46" t="n">
        <v>0</v>
      </c>
      <c r="N33" s="47" t="n">
        <v>0</v>
      </c>
    </row>
    <row r="34" ht="19" customHeight="1">
      <c r="B34" s="45" t="inlineStr">
        <is>
          <t>ACT-05 — Revue de conception</t>
        </is>
      </c>
      <c r="I34" s="46" t="inlineStr">
        <is>
          <t>A_FAIRE</t>
        </is>
      </c>
      <c r="K34" s="46" t="n">
        <v>0</v>
      </c>
      <c r="N34" s="47" t="n">
        <v>0</v>
      </c>
    </row>
    <row r="35" ht="19" customHeight="1">
      <c r="B35" s="45" t="inlineStr">
        <is>
          <t>ACT-06 — Preparation gate review</t>
        </is>
      </c>
      <c r="I35" s="46" t="inlineStr">
        <is>
          <t>STAND_BY</t>
        </is>
      </c>
      <c r="K35" s="46" t="n">
        <v>10</v>
      </c>
      <c r="N35" s="47" t="n">
        <v>4</v>
      </c>
    </row>
  </sheetData>
  <mergeCells count="43">
    <mergeCell ref="I34:J34"/>
    <mergeCell ref="K32:M32"/>
    <mergeCell ref="B3:C3"/>
    <mergeCell ref="B8:D8"/>
    <mergeCell ref="K31:M31"/>
    <mergeCell ref="B24:H24"/>
    <mergeCell ref="E9:G9"/>
    <mergeCell ref="B33:H33"/>
    <mergeCell ref="B27:C27"/>
    <mergeCell ref="H7:J7"/>
    <mergeCell ref="F3:G3"/>
    <mergeCell ref="K8:M8"/>
    <mergeCell ref="B32:H32"/>
    <mergeCell ref="B2:F2"/>
    <mergeCell ref="J24:K24"/>
    <mergeCell ref="I32:J32"/>
    <mergeCell ref="B35:H35"/>
    <mergeCell ref="K1:L1"/>
    <mergeCell ref="B9:D9"/>
    <mergeCell ref="E7:G7"/>
    <mergeCell ref="K7:M7"/>
    <mergeCell ref="B31:H31"/>
    <mergeCell ref="B22:H22"/>
    <mergeCell ref="H2:L2"/>
    <mergeCell ref="N2:P3"/>
    <mergeCell ref="I33:J33"/>
    <mergeCell ref="H8:J8"/>
    <mergeCell ref="E27:F27"/>
    <mergeCell ref="K34:M34"/>
    <mergeCell ref="B7:D7"/>
    <mergeCell ref="D3:E3"/>
    <mergeCell ref="J22:K22"/>
    <mergeCell ref="H27:I27"/>
    <mergeCell ref="B23:H23"/>
    <mergeCell ref="K33:M33"/>
    <mergeCell ref="I35:J35"/>
    <mergeCell ref="K9:M9"/>
    <mergeCell ref="E8:G8"/>
    <mergeCell ref="I31:J31"/>
    <mergeCell ref="K35:M35"/>
    <mergeCell ref="H9:J9"/>
    <mergeCell ref="J23:K23"/>
    <mergeCell ref="B34:H34"/>
  </mergeCells>
  <conditionalFormatting sqref="J22:J24">
    <cfRule type="cellIs" priority="1" operator="equal" dxfId="0">
      <formula>"TERMINEE"</formula>
    </cfRule>
    <cfRule type="cellIs" priority="2" operator="equal" dxfId="1">
      <formula>"EN_COURS"</formula>
    </cfRule>
    <cfRule type="cellIs" priority="3" operator="equal" dxfId="2">
      <formula>"STAND_BY"</formula>
    </cfRule>
    <cfRule type="cellIs" priority="4" operator="equal" dxfId="3">
      <formula>"A_FAIRE"</formula>
    </cfRule>
  </conditionalFormatting>
  <conditionalFormatting sqref="K31:K35">
    <cfRule type="dataBar" priority="5">
      <dataBar showValue="1">
        <cfvo type="num" val="0"/>
        <cfvo type="num" val="100"/>
        <color rgb="00378ADD"/>
      </dataBar>
    </cfRule>
  </conditionalFormatting>
  <conditionalFormatting sqref="I31:I35">
    <cfRule type="cellIs" priority="6" operator="equal" dxfId="0">
      <formula>"TERMINEE"</formula>
    </cfRule>
    <cfRule type="cellIs" priority="7" operator="equal" dxfId="1">
      <formula>"EN_COURS"</formula>
    </cfRule>
    <cfRule type="cellIs" priority="8" operator="equal" dxfId="2">
      <formula>"STAND_BY"</formula>
    </cfRule>
    <cfRule type="cellIs" priority="9" operator="equal" dxfId="3">
      <formula>"A_FAIRE"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fait</t>
        </is>
      </c>
      <c r="B1" t="n">
        <v>45</v>
      </c>
    </row>
    <row r="2">
      <c r="A2" t="inlineStr">
        <is>
          <t>reste</t>
        </is>
      </c>
      <c r="B2" t="n">
        <v>55</v>
      </c>
    </row>
    <row r="4">
      <c r="A4" t="inlineStr">
        <is>
          <t>fait</t>
        </is>
      </c>
      <c r="B4" t="n">
        <v>30</v>
      </c>
    </row>
    <row r="5">
      <c r="A5" t="inlineStr">
        <is>
          <t>reste</t>
        </is>
      </c>
      <c r="B5" t="n">
        <v>70</v>
      </c>
    </row>
    <row r="7">
      <c r="A7" t="inlineStr">
        <is>
          <t>fait</t>
        </is>
      </c>
      <c r="B7" t="n">
        <v>33</v>
      </c>
    </row>
    <row r="8">
      <c r="A8" t="inlineStr">
        <is>
          <t>reste</t>
        </is>
      </c>
      <c r="B8" t="n">
        <v>67</v>
      </c>
    </row>
    <row r="10">
      <c r="A10" t="inlineStr">
        <is>
          <t>fait</t>
        </is>
      </c>
      <c r="B10" t="n">
        <v>67</v>
      </c>
    </row>
    <row r="11">
      <c r="A11" t="inlineStr">
        <is>
          <t>reste</t>
        </is>
      </c>
      <c r="B11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8ADD"/>
    <outlinePr summaryBelow="1" summaryRight="1"/>
    <pageSetUpPr/>
  </sheetPr>
  <dimension ref="A1:L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3" customWidth="1" min="3" max="3"/>
    <col width="13" customWidth="1" min="4" max="4"/>
    <col width="11" customWidth="1" min="5" max="5"/>
    <col width="14" customWidth="1" min="6" max="6"/>
    <col width="13" customWidth="1" min="7" max="7"/>
  </cols>
  <sheetData>
    <row r="1" ht="24" customHeight="1">
      <c r="A1" s="1" t="n"/>
      <c r="B1" s="2" t="inlineStr">
        <is>
          <t>UO L09U1 — Préparation et passage des IDR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3" t="inlineStr">
        <is>
          <t>Saisie — Activités · J. Dujardin</t>
        </is>
      </c>
    </row>
    <row r="2" ht="22" customHeight="1">
      <c r="A2" s="1" t="n"/>
      <c r="B2" s="4" t="inlineStr">
        <is>
          <t>⚙  SYSTÈME : CLIMATISATION</t>
        </is>
      </c>
      <c r="G2" s="1" t="n"/>
      <c r="H2" s="4" t="inlineStr">
        <is>
          <t>▣  PROJET : PROJET DEMO</t>
        </is>
      </c>
    </row>
    <row r="3" ht="18" customHeight="1">
      <c r="A3" s="1" t="n"/>
      <c r="B3" s="6">
        <f>HYPERLINK("#Dashboard!A1","⌂ Dashboard")</f>
        <v/>
      </c>
      <c r="D3" s="6">
        <f>HYPERLINK("#Activites!A1","✎ Activités")</f>
        <v/>
      </c>
      <c r="F3" s="6">
        <f>HYPERLINK("#OIL!A1","⚑ OIL")</f>
        <v/>
      </c>
      <c r="H3" s="1" t="n"/>
      <c r="I3" s="1" t="n"/>
      <c r="J3" s="1" t="n"/>
      <c r="K3" s="1" t="n"/>
      <c r="L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 ht="22" customHeight="1">
      <c r="A6" s="48" t="inlineStr">
        <is>
          <t>id</t>
        </is>
      </c>
      <c r="B6" s="48" t="inlineStr">
        <is>
          <t>designation</t>
        </is>
      </c>
      <c r="C6" s="48" t="inlineStr">
        <is>
          <t>statut</t>
        </is>
      </c>
      <c r="D6" s="48" t="inlineStr">
        <is>
          <t>avancement</t>
        </is>
      </c>
      <c r="E6" s="48" t="inlineStr">
        <is>
          <t>load (h)</t>
        </is>
      </c>
      <c r="F6" s="48" t="inlineStr">
        <is>
          <t>consommé (h)</t>
        </is>
      </c>
      <c r="G6" s="48" t="inlineStr">
        <is>
          <t>reste (h)</t>
        </is>
      </c>
    </row>
    <row r="7" ht="20" customHeight="1">
      <c r="A7" s="49" t="inlineStr">
        <is>
          <t>ACT-01</t>
        </is>
      </c>
      <c r="B7" s="50" t="inlineStr">
        <is>
          <t>Analyse fonctionnelle du besoin</t>
        </is>
      </c>
      <c r="C7" s="49" t="inlineStr">
        <is>
          <t>TERMINEE</t>
        </is>
      </c>
      <c r="D7" s="49" t="n">
        <v>100</v>
      </c>
      <c r="E7" s="51" t="n">
        <v>24</v>
      </c>
      <c r="F7" s="51" t="n">
        <v>22</v>
      </c>
      <c r="G7" s="51" t="n">
        <v>0</v>
      </c>
    </row>
    <row r="8" ht="20" customHeight="1">
      <c r="A8" s="49" t="inlineStr">
        <is>
          <t>ACT-02</t>
        </is>
      </c>
      <c r="B8" s="50" t="inlineStr">
        <is>
          <t>Specification des exigences</t>
        </is>
      </c>
      <c r="C8" s="49" t="inlineStr">
        <is>
          <t>EN_COURS</t>
        </is>
      </c>
      <c r="D8" s="49" t="n">
        <v>60</v>
      </c>
      <c r="E8" s="51" t="n">
        <v>30</v>
      </c>
      <c r="F8" s="51" t="n">
        <v>28.5</v>
      </c>
      <c r="G8" s="51" t="n">
        <v>12</v>
      </c>
    </row>
    <row r="9" ht="20" customHeight="1">
      <c r="A9" s="49" t="inlineStr">
        <is>
          <t>ACT-03</t>
        </is>
      </c>
      <c r="B9" s="50" t="inlineStr">
        <is>
          <t>Definition d'architecture</t>
        </is>
      </c>
      <c r="C9" s="49" t="inlineStr">
        <is>
          <t>EN_COURS</t>
        </is>
      </c>
      <c r="D9" s="49" t="n">
        <v>35</v>
      </c>
      <c r="E9" s="51" t="n">
        <v>40</v>
      </c>
      <c r="F9" s="51" t="n">
        <v>12</v>
      </c>
      <c r="G9" s="51" t="n">
        <v>26</v>
      </c>
    </row>
    <row r="10" ht="20" customHeight="1">
      <c r="A10" s="49" t="inlineStr">
        <is>
          <t>ACT-04</t>
        </is>
      </c>
      <c r="B10" s="50" t="inlineStr">
        <is>
          <t>Calculs et simulations</t>
        </is>
      </c>
      <c r="C10" s="49" t="inlineStr">
        <is>
          <t>A_FAIRE</t>
        </is>
      </c>
      <c r="D10" s="49" t="n">
        <v>0</v>
      </c>
      <c r="E10" s="51" t="n">
        <v>35</v>
      </c>
      <c r="F10" s="51" t="n">
        <v>0</v>
      </c>
      <c r="G10" s="51" t="n">
        <v>35</v>
      </c>
    </row>
    <row r="11" ht="20" customHeight="1">
      <c r="A11" s="49" t="inlineStr">
        <is>
          <t>ACT-05</t>
        </is>
      </c>
      <c r="B11" s="50" t="inlineStr">
        <is>
          <t>Revue de conception</t>
        </is>
      </c>
      <c r="C11" s="49" t="inlineStr">
        <is>
          <t>A_FAIRE</t>
        </is>
      </c>
      <c r="D11" s="49" t="n">
        <v>0</v>
      </c>
      <c r="E11" s="51" t="n">
        <v>25</v>
      </c>
      <c r="F11" s="51" t="n">
        <v>0</v>
      </c>
      <c r="G11" s="51" t="n">
        <v>25</v>
      </c>
    </row>
    <row r="12" ht="20" customHeight="1">
      <c r="A12" s="49" t="inlineStr">
        <is>
          <t>ACT-06</t>
        </is>
      </c>
      <c r="B12" s="50" t="inlineStr">
        <is>
          <t>Preparation gate review</t>
        </is>
      </c>
      <c r="C12" s="49" t="inlineStr">
        <is>
          <t>STAND_BY</t>
        </is>
      </c>
      <c r="D12" s="49" t="n">
        <v>10</v>
      </c>
      <c r="E12" s="51" t="n">
        <v>46</v>
      </c>
      <c r="F12" s="51" t="n">
        <v>4</v>
      </c>
      <c r="G12" s="51" t="n">
        <v>41.4</v>
      </c>
    </row>
  </sheetData>
  <mergeCells count="6">
    <mergeCell ref="F3:G3"/>
    <mergeCell ref="H2:L2"/>
    <mergeCell ref="B2:F2"/>
    <mergeCell ref="B3:C3"/>
    <mergeCell ref="K1:L1"/>
    <mergeCell ref="D3:E3"/>
  </mergeCells>
  <conditionalFormatting sqref="D7:D12">
    <cfRule type="dataBar" priority="1">
      <dataBar showValue="1">
        <cfvo type="num" val="0"/>
        <cfvo type="num" val="100"/>
        <color rgb="00378ADD"/>
      </dataBar>
    </cfRule>
  </conditionalFormatting>
  <conditionalFormatting sqref="C7:C12">
    <cfRule type="cellIs" priority="2" operator="equal" dxfId="0">
      <formula>"TERMINEE"</formula>
    </cfRule>
    <cfRule type="cellIs" priority="3" operator="equal" dxfId="1">
      <formula>"EN_COURS"</formula>
    </cfRule>
    <cfRule type="cellIs" priority="4" operator="equal" dxfId="2">
      <formula>"STAND_BY"</formula>
    </cfRule>
    <cfRule type="cellIs" priority="5" operator="equal" dxfId="3">
      <formula>"A_FAIRE"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9F2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15" customWidth="1" min="3" max="3"/>
    <col width="12" customWidth="1" min="4" max="4"/>
    <col width="10" customWidth="1" min="5" max="5"/>
  </cols>
  <sheetData>
    <row r="1" ht="24" customHeight="1">
      <c r="A1" s="1" t="n"/>
      <c r="B1" s="2" t="inlineStr">
        <is>
          <t>UO L09U1 — Préparation et passage des IDR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52" t="inlineStr">
        <is>
          <t>Points ouverts — OIL · J. Dujardin</t>
        </is>
      </c>
    </row>
    <row r="2" ht="22" customHeight="1">
      <c r="A2" s="1" t="n"/>
      <c r="B2" s="4" t="inlineStr">
        <is>
          <t>⚙  SYSTÈME : CLIMATISATION</t>
        </is>
      </c>
      <c r="G2" s="1" t="n"/>
      <c r="H2" s="4" t="inlineStr">
        <is>
          <t>▣  PROJET : PROJET DEMO</t>
        </is>
      </c>
    </row>
    <row r="3" ht="18" customHeight="1">
      <c r="A3" s="1" t="n"/>
      <c r="B3" s="6">
        <f>HYPERLINK("#Dashboard!A1","⌂ Dashboard")</f>
        <v/>
      </c>
      <c r="D3" s="6">
        <f>HYPERLINK("#Activites!A1","✎ Activités")</f>
        <v/>
      </c>
      <c r="F3" s="6">
        <f>HYPERLINK("#OIL!A1","⚑ OIL")</f>
        <v/>
      </c>
      <c r="H3" s="1" t="n"/>
      <c r="I3" s="1" t="n"/>
      <c r="J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 ht="22" customHeight="1">
      <c r="A6" s="48" t="inlineStr">
        <is>
          <t>id</t>
        </is>
      </c>
      <c r="B6" s="48" t="inlineStr">
        <is>
          <t>titre</t>
        </is>
      </c>
      <c r="C6" s="48" t="inlineStr">
        <is>
          <t>en_action</t>
        </is>
      </c>
      <c r="D6" s="48" t="inlineStr">
        <is>
          <t>criticite</t>
        </is>
      </c>
      <c r="E6" s="48" t="inlineStr">
        <is>
          <t>statut</t>
        </is>
      </c>
    </row>
    <row r="7" ht="20" customHeight="1">
      <c r="A7" s="49" t="inlineStr">
        <is>
          <t>PO-001</t>
        </is>
      </c>
      <c r="B7" s="50" t="inlineStr">
        <is>
          <t>Question expert normes EN 45545</t>
        </is>
      </c>
      <c r="C7" s="49" t="inlineStr">
        <is>
          <t>EXPERT</t>
        </is>
      </c>
      <c r="D7" s="49" t="inlineStr">
        <is>
          <t>HAUTE</t>
        </is>
      </c>
      <c r="E7" s="49" t="inlineStr">
        <is>
          <t>OUVERT</t>
        </is>
      </c>
    </row>
    <row r="8" ht="20" customHeight="1">
      <c r="A8" s="49" t="inlineStr">
        <is>
          <t>PO-002</t>
        </is>
      </c>
      <c r="B8" s="50" t="inlineStr">
        <is>
          <t>Attente retour relecture fournisseur</t>
        </is>
      </c>
      <c r="C8" s="49" t="inlineStr">
        <is>
          <t>FOURNISSEUR</t>
        </is>
      </c>
      <c r="D8" s="49" t="inlineStr">
        <is>
          <t>MOYENNE</t>
        </is>
      </c>
      <c r="E8" s="49" t="inlineStr">
        <is>
          <t>OUVERT</t>
        </is>
      </c>
    </row>
    <row r="9" ht="20" customHeight="1">
      <c r="A9" s="49" t="inlineStr">
        <is>
          <t>PO-003</t>
        </is>
      </c>
      <c r="B9" s="50" t="inlineStr">
        <is>
          <t>Acces outil documentaire obtenu</t>
        </is>
      </c>
      <c r="C9" s="49" t="inlineStr">
        <is>
          <t>SE</t>
        </is>
      </c>
      <c r="D9" s="49" t="inlineStr">
        <is>
          <t>BASSE</t>
        </is>
      </c>
      <c r="E9" s="49" t="inlineStr">
        <is>
          <t>CLOS</t>
        </is>
      </c>
    </row>
  </sheetData>
  <mergeCells count="6">
    <mergeCell ref="F3:G3"/>
    <mergeCell ref="H2:L2"/>
    <mergeCell ref="B2:F2"/>
    <mergeCell ref="B3:C3"/>
    <mergeCell ref="K1:L1"/>
    <mergeCell ref="D3:E3"/>
  </mergeCells>
  <conditionalFormatting sqref="D7:D9">
    <cfRule type="cellIs" priority="1" operator="equal" dxfId="4">
      <formula>"HAUTE"</formula>
    </cfRule>
    <cfRule type="cellIs" priority="2" operator="equal" dxfId="2">
      <formula>"MOYENNE"</formula>
    </cfRule>
    <cfRule type="cellIs" priority="3" operator="equal" dxfId="3">
      <formula>"BASSE"</formula>
    </cfRule>
  </conditionalFormatting>
  <conditionalFormatting sqref="E7:E9">
    <cfRule type="cellIs" priority="4" operator="equal" dxfId="4">
      <formula>"OUVERT"</formula>
    </cfRule>
    <cfRule type="cellIs" priority="5" operator="equal" dxfId="5">
      <formula>"CLOS"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2026-06-12T12:59:12Z</dcterms:created>
  <dcterms:modified xmlns:dcterms="http://purl.org/dc/terms/" xmlns:xsi="http://www.w3.org/2001/XMLSchema-instance" xsi:type="dcterms:W3CDTF">2026-06-12T12:59:12Z</dcterms:modified>
</cp:coreProperties>
</file>