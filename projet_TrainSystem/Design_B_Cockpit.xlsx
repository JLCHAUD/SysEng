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_chart_data" sheetId="2" state="hidden" r:id="rId2"/>
    <sheet xmlns:r="http://schemas.openxmlformats.org/officeDocument/2006/relationships" name="Activites" sheetId="3" state="visible" r:id="rId3"/>
    <sheet xmlns:r="http://schemas.openxmlformats.org/officeDocument/2006/relationships" name="O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color rgb="00B5D4F4"/>
      <sz val="9"/>
    </font>
    <font>
      <name val="Segoe UI"/>
      <b val="1"/>
      <color rgb="00B5D4F4"/>
      <sz val="9"/>
    </font>
    <font>
      <name val="Segoe UI"/>
      <b val="1"/>
      <color rgb="00FFFFFF"/>
      <sz val="11"/>
    </font>
    <font>
      <name val="Segoe UI"/>
      <b val="1"/>
      <color rgb="005F5E5A"/>
      <sz val="9"/>
    </font>
    <font>
      <name val="Segoe UI"/>
      <b val="1"/>
      <color rgb="000C447C"/>
      <sz val="20"/>
    </font>
    <font>
      <name val="Segoe UI"/>
      <color rgb="005F5E5A"/>
      <sz val="8.5"/>
    </font>
    <font>
      <name val="Segoe UI"/>
      <b val="1"/>
      <color rgb="002C2C2A"/>
      <sz val="20"/>
    </font>
    <font>
      <name val="Segoe UI"/>
      <b val="1"/>
      <color rgb="00854F0B"/>
      <sz val="20"/>
    </font>
    <font>
      <name val="Segoe UI"/>
      <b val="1"/>
      <color rgb="0027500A"/>
      <sz val="20"/>
    </font>
    <font>
      <name val="Segoe UI"/>
      <b val="1"/>
      <color rgb="000C447C"/>
      <sz val="11"/>
    </font>
    <font>
      <name val="Segoe UI"/>
      <color rgb="002C2C2A"/>
      <sz val="10"/>
    </font>
    <font>
      <name val="Segoe UI"/>
      <b val="1"/>
      <color rgb="000C447C"/>
      <sz val="10"/>
    </font>
    <font>
      <name val="Segoe UI"/>
      <color rgb="002C2C2A"/>
      <sz val="9"/>
    </font>
    <font>
      <name val="Segoe UI"/>
      <b val="1"/>
      <color rgb="00854F0B"/>
      <sz val="10"/>
    </font>
    <font>
      <name val="Segoe UI"/>
      <b val="1"/>
      <color rgb="00791F1F"/>
      <sz val="10"/>
    </font>
    <font>
      <name val="Segoe UI"/>
      <b val="1"/>
      <color rgb="0027500A"/>
      <sz val="10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0C447C"/>
      </patternFill>
    </fill>
    <fill>
      <patternFill patternType="solid">
        <fgColor rgb="00E24B4A"/>
      </patternFill>
    </fill>
    <fill>
      <patternFill patternType="solid">
        <fgColor rgb="00FFFFFF"/>
      </patternFill>
    </fill>
    <fill>
      <patternFill patternType="solid">
        <fgColor rgb="00FAEEDA"/>
      </patternFill>
    </fill>
    <fill>
      <patternFill patternType="solid">
        <fgColor rgb="00FCEBEB"/>
      </patternFill>
    </fill>
    <fill>
      <patternFill patternType="solid">
        <fgColor rgb="00EAF3DE"/>
      </patternFill>
    </fill>
  </fills>
  <borders count="43">
    <border>
      <left/>
      <right/>
      <top/>
      <bottom/>
      <diagonal/>
    </border>
    <border>
      <left style="thin">
        <color rgb="00B5D4F4"/>
      </left>
      <right/>
      <top style="thin">
        <color rgb="00B5D4F4"/>
      </top>
      <bottom/>
    </border>
    <border>
      <left/>
      <right/>
      <top style="thin">
        <color rgb="00B5D4F4"/>
      </top>
      <bottom/>
    </border>
    <border>
      <left/>
      <right style="thin">
        <color rgb="00B5D4F4"/>
      </right>
      <top style="thin">
        <color rgb="00B5D4F4"/>
      </top>
      <bottom/>
    </border>
    <border>
      <left style="thin">
        <color rgb="00B5D4F4"/>
      </left>
      <right/>
      <top/>
      <bottom/>
    </border>
    <border>
      <left/>
      <right/>
      <top/>
      <bottom/>
    </border>
    <border>
      <left/>
      <right style="thin">
        <color rgb="00B5D4F4"/>
      </right>
      <top/>
      <bottom/>
    </border>
    <border>
      <left style="thin">
        <color rgb="00B5D4F4"/>
      </left>
      <right/>
      <top/>
      <bottom style="thin">
        <color rgb="00B5D4F4"/>
      </bottom>
    </border>
    <border>
      <left/>
      <right/>
      <top/>
      <bottom style="thin">
        <color rgb="00B5D4F4"/>
      </bottom>
    </border>
    <border>
      <left/>
      <right style="thin">
        <color rgb="00B5D4F4"/>
      </right>
      <top/>
      <bottom style="thin">
        <color rgb="00B5D4F4"/>
      </bottom>
    </border>
    <border>
      <left style="thin">
        <color rgb="00B5D4F4"/>
      </left>
      <right style="thin">
        <color rgb="00B5D4F4"/>
      </right>
      <top/>
      <bottom/>
    </border>
    <border>
      <left/>
      <right style="thin">
        <color rgb="00B5D4F4"/>
      </right>
      <top/>
      <bottom/>
      <diagonal/>
    </border>
    <border>
      <left style="thin">
        <color rgb="00B5D4F4"/>
      </left>
      <right style="thin">
        <color rgb="00B5D4F4"/>
      </right>
      <top/>
      <bottom style="thin">
        <color rgb="00B5D4F4"/>
      </bottom>
    </border>
    <border>
      <left/>
      <right/>
      <top/>
      <bottom style="thin">
        <color rgb="00B5D4F4"/>
      </bottom>
      <diagonal/>
    </border>
    <border>
      <left/>
      <right style="thin">
        <color rgb="00B5D4F4"/>
      </right>
      <top/>
      <bottom style="thin">
        <color rgb="00B5D4F4"/>
      </bottom>
      <diagonal/>
    </border>
    <border>
      <left style="thin">
        <color rgb="00D3D1C7"/>
      </left>
      <right/>
      <top style="thin">
        <color rgb="00D3D1C7"/>
      </top>
      <bottom/>
    </border>
    <border>
      <left/>
      <right/>
      <top style="thin">
        <color rgb="00D3D1C7"/>
      </top>
      <bottom/>
    </border>
    <border>
      <left/>
      <right style="thin">
        <color rgb="00D3D1C7"/>
      </right>
      <top style="thin">
        <color rgb="00D3D1C7"/>
      </top>
      <bottom/>
    </border>
    <border>
      <left style="thin">
        <color rgb="00D3D1C7"/>
      </left>
      <right/>
      <top/>
      <bottom/>
    </border>
    <border>
      <left/>
      <right style="thin">
        <color rgb="00D3D1C7"/>
      </right>
      <top/>
      <bottom/>
    </border>
    <border>
      <left style="thin">
        <color rgb="00D3D1C7"/>
      </left>
      <right/>
      <top/>
      <bottom style="thin">
        <color rgb="00D3D1C7"/>
      </bottom>
    </border>
    <border>
      <left/>
      <right/>
      <top/>
      <bottom style="thin">
        <color rgb="00D3D1C7"/>
      </bottom>
    </border>
    <border>
      <left/>
      <right style="thin">
        <color rgb="00D3D1C7"/>
      </right>
      <top/>
      <bottom style="thin">
        <color rgb="00D3D1C7"/>
      </bottom>
    </border>
    <border>
      <left style="thin">
        <color rgb="00D3D1C7"/>
      </left>
      <right style="thin">
        <color rgb="00D3D1C7"/>
      </right>
      <top/>
      <bottom/>
    </border>
    <border>
      <left/>
      <right style="thin">
        <color rgb="00D3D1C7"/>
      </right>
      <top/>
      <bottom/>
      <diagonal/>
    </border>
    <border>
      <left style="thin">
        <color rgb="00D3D1C7"/>
      </left>
      <right style="thin">
        <color rgb="00D3D1C7"/>
      </right>
      <top/>
      <bottom style="thin">
        <color rgb="00D3D1C7"/>
      </bottom>
    </border>
    <border>
      <left/>
      <right/>
      <top/>
      <bottom style="thin">
        <color rgb="00D3D1C7"/>
      </bottom>
      <diagonal/>
    </border>
    <border>
      <left/>
      <right style="thin">
        <color rgb="00D3D1C7"/>
      </right>
      <top/>
      <bottom style="thin">
        <color rgb="00D3D1C7"/>
      </bottom>
      <diagonal/>
    </border>
    <border>
      <left style="thin">
        <color rgb="00FAC775"/>
      </left>
      <right/>
      <top style="thin">
        <color rgb="00FAC775"/>
      </top>
      <bottom/>
    </border>
    <border>
      <left/>
      <right/>
      <top style="thin">
        <color rgb="00FAC775"/>
      </top>
      <bottom/>
    </border>
    <border>
      <left/>
      <right style="thin">
        <color rgb="00FAC775"/>
      </right>
      <top style="thin">
        <color rgb="00FAC775"/>
      </top>
      <bottom/>
    </border>
    <border>
      <left style="thin">
        <color rgb="00FAC775"/>
      </left>
      <right/>
      <top/>
      <bottom/>
    </border>
    <border>
      <left/>
      <right style="thin">
        <color rgb="00FAC775"/>
      </right>
      <top/>
      <bottom/>
    </border>
    <border>
      <left style="thin">
        <color rgb="00FAC775"/>
      </left>
      <right/>
      <top/>
      <bottom style="thin">
        <color rgb="00FAC775"/>
      </bottom>
    </border>
    <border>
      <left/>
      <right/>
      <top/>
      <bottom style="thin">
        <color rgb="00FAC775"/>
      </bottom>
    </border>
    <border>
      <left/>
      <right style="thin">
        <color rgb="00FAC775"/>
      </right>
      <top/>
      <bottom style="thin">
        <color rgb="00FAC775"/>
      </bottom>
    </border>
    <border>
      <left style="thin">
        <color rgb="00FAC775"/>
      </left>
      <right style="thin">
        <color rgb="00FAC775"/>
      </right>
      <top/>
      <bottom/>
    </border>
    <border>
      <left/>
      <right style="thin">
        <color rgb="00FAC775"/>
      </right>
      <top/>
      <bottom/>
      <diagonal/>
    </border>
    <border>
      <left style="thin">
        <color rgb="00FAC775"/>
      </left>
      <right style="thin">
        <color rgb="00FAC775"/>
      </right>
      <top/>
      <bottom style="thin">
        <color rgb="00FAC775"/>
      </bottom>
    </border>
    <border>
      <left/>
      <right/>
      <top/>
      <bottom style="thin">
        <color rgb="00FAC775"/>
      </bottom>
      <diagonal/>
    </border>
    <border>
      <left/>
      <right style="thin">
        <color rgb="00FAC775"/>
      </right>
      <top/>
      <bottom style="thin">
        <color rgb="00FAC775"/>
      </bottom>
      <diagonal/>
    </border>
    <border>
      <bottom style="thin">
        <color rgb="00D3D1C7"/>
      </bottom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15" pivotButton="0" quotePrefix="0" xfId="0"/>
    <xf numFmtId="0" fontId="0" fillId="4" borderId="16" pivotButton="0" quotePrefix="0" xfId="0"/>
    <xf numFmtId="0" fontId="0" fillId="4" borderId="17" pivotButton="0" quotePrefix="0" xfId="0"/>
    <xf numFmtId="0" fontId="0" fillId="4" borderId="28" pivotButton="0" quotePrefix="0" xfId="0"/>
    <xf numFmtId="0" fontId="0" fillId="4" borderId="29" pivotButton="0" quotePrefix="0" xfId="0"/>
    <xf numFmtId="0" fontId="0" fillId="4" borderId="30" pivotButton="0" quotePrefix="0" xfId="0"/>
    <xf numFmtId="0" fontId="5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5" fillId="4" borderId="23" applyAlignment="1" pivotButton="0" quotePrefix="0" xfId="0">
      <alignment horizontal="center" vertical="center"/>
    </xf>
    <xf numFmtId="0" fontId="0" fillId="0" borderId="24" pivotButton="0" quotePrefix="0" xfId="0"/>
    <xf numFmtId="0" fontId="5" fillId="4" borderId="36" applyAlignment="1" pivotButton="0" quotePrefix="0" xfId="0">
      <alignment horizontal="center" vertical="center"/>
    </xf>
    <xf numFmtId="0" fontId="0" fillId="0" borderId="37" pivotButton="0" quotePrefix="0" xfId="0"/>
    <xf numFmtId="0" fontId="6" fillId="4" borderId="10" applyAlignment="1" pivotButton="0" quotePrefix="0" xfId="0">
      <alignment horizontal="center" vertical="center"/>
    </xf>
    <xf numFmtId="0" fontId="8" fillId="4" borderId="23" applyAlignment="1" pivotButton="0" quotePrefix="0" xfId="0">
      <alignment horizontal="center" vertical="center"/>
    </xf>
    <xf numFmtId="0" fontId="9" fillId="4" borderId="36" applyAlignment="1" pivotButton="0" quotePrefix="0" xfId="0">
      <alignment horizontal="center" vertical="center"/>
    </xf>
    <xf numFmtId="0" fontId="10" fillId="4" borderId="23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top"/>
    </xf>
    <xf numFmtId="0" fontId="0" fillId="0" borderId="13" pivotButton="0" quotePrefix="0" xfId="0"/>
    <xf numFmtId="0" fontId="0" fillId="0" borderId="14" pivotButton="0" quotePrefix="0" xfId="0"/>
    <xf numFmtId="0" fontId="7" fillId="4" borderId="25" applyAlignment="1" pivotButton="0" quotePrefix="0" xfId="0">
      <alignment horizontal="center" vertical="top"/>
    </xf>
    <xf numFmtId="0" fontId="0" fillId="0" borderId="26" pivotButton="0" quotePrefix="0" xfId="0"/>
    <xf numFmtId="0" fontId="0" fillId="0" borderId="27" pivotButton="0" quotePrefix="0" xfId="0"/>
    <xf numFmtId="0" fontId="7" fillId="4" borderId="38" applyAlignment="1" pivotButton="0" quotePrefix="0" xfId="0">
      <alignment horizontal="center" vertical="top"/>
    </xf>
    <xf numFmtId="0" fontId="0" fillId="0" borderId="39" pivotButton="0" quotePrefix="0" xfId="0"/>
    <xf numFmtId="0" fontId="0" fillId="0" borderId="40" pivotButton="0" quotePrefix="0" xfId="0"/>
    <xf numFmtId="0" fontId="11" fillId="0" borderId="0" pivotButton="0" quotePrefix="0" xfId="0"/>
    <xf numFmtId="0" fontId="12" fillId="0" borderId="41" pivotButton="0" quotePrefix="0" xfId="0"/>
    <xf numFmtId="0" fontId="0" fillId="0" borderId="41" pivotButton="0" quotePrefix="0" xfId="0"/>
    <xf numFmtId="0" fontId="13" fillId="0" borderId="41" applyAlignment="1" pivotButton="0" quotePrefix="0" xfId="0">
      <alignment horizontal="center"/>
    </xf>
    <xf numFmtId="0" fontId="14" fillId="0" borderId="41" applyAlignment="1" pivotButton="0" quotePrefix="0" xfId="0">
      <alignment horizontal="center"/>
    </xf>
    <xf numFmtId="0" fontId="15" fillId="5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12" fillId="0" borderId="42" applyAlignment="1" pivotButton="0" quotePrefix="0" xfId="0">
      <alignment horizontal="center" vertical="center"/>
    </xf>
    <xf numFmtId="0" fontId="12" fillId="0" borderId="42" applyAlignment="1" pivotButton="0" quotePrefix="0" xfId="0">
      <alignment horizontal="left" vertical="center"/>
    </xf>
    <xf numFmtId="164" fontId="12" fillId="0" borderId="42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Segoe UI"/>
        <b val="1"/>
        <color rgb="0027500A"/>
        <sz val="10"/>
      </font>
      <fill>
        <patternFill patternType="solid">
          <fgColor rgb="00EAF3DE"/>
        </patternFill>
      </fill>
    </dxf>
    <dxf>
      <font>
        <name val="Segoe UI"/>
        <b val="1"/>
        <color rgb="000C447C"/>
        <sz val="10"/>
      </font>
      <fill>
        <patternFill patternType="solid">
          <fgColor rgb="00E6F1FB"/>
        </patternFill>
      </fill>
    </dxf>
    <dxf>
      <font>
        <name val="Segoe UI"/>
        <b val="1"/>
        <color rgb="00854F0B"/>
        <sz val="10"/>
      </font>
      <fill>
        <patternFill patternType="solid">
          <fgColor rgb="00FAEEDA"/>
        </patternFill>
      </fill>
    </dxf>
    <dxf>
      <font>
        <name val="Segoe UI"/>
        <color rgb="005F5E5A"/>
        <sz val="10"/>
      </font>
      <fill>
        <patternFill patternType="solid">
          <fgColor rgb="00F5F4F0"/>
        </patternFill>
      </fill>
    </dxf>
    <dxf>
      <font>
        <name val="Segoe UI"/>
        <b val="1"/>
        <color rgb="00791F1F"/>
        <sz val="10"/>
      </font>
      <fill>
        <patternFill patternType="solid">
          <fgColor rgb="00FCEBEB"/>
        </patternFill>
      </fill>
    </dxf>
    <dxf>
      <font>
        <name val="Segoe UI"/>
        <color rgb="0027500A"/>
        <sz val="10"/>
      </font>
      <fill>
        <patternFill patternType="solid">
          <fgColor rgb="00EAF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78AD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F1FB"/>
              </a:solidFill>
              <a:ln xmlns:a="http://schemas.openxmlformats.org/drawingml/2006/main">
                <a:prstDash val="solid"/>
              </a:ln>
            </spPr>
          </dPt>
          <cat>
            <numRef>
              <f>'_chart_data'!$A$1:$A$2</f>
            </numRef>
          </cat>
          <val>
            <numRef>
              <f>'_chart_data'!$B$1:$B$2</f>
            </numRef>
          </val>
        </ser>
        <firstSliceAng val="0"/>
        <holeSize val="62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2376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C447C"/>
    <outlinePr summaryBelow="1" summaryRight="1"/>
    <pageSetUpPr/>
  </sheetPr>
  <dimension ref="A1:Q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</cols>
  <sheetData>
    <row r="1" ht="24" customHeight="1">
      <c r="A1" s="1" t="n"/>
      <c r="B1" s="2" t="inlineStr">
        <is>
          <t>UO L09U1 — Préparation et passage des IDR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 t="inlineStr">
        <is>
          <t>SANTÉ ROUGE</t>
        </is>
      </c>
      <c r="P1" s="1" t="n"/>
      <c r="Q1" s="1" t="n"/>
    </row>
    <row r="2" ht="16" customHeight="1">
      <c r="A2" s="1" t="n"/>
      <c r="B2" s="4" t="inlineStr">
        <is>
          <t>Cockpit de pilotage   ·   Projet Demo · Climatisation · J. Dujardin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P2" s="1" t="n"/>
      <c r="Q2" s="1" t="n"/>
    </row>
    <row r="3" ht="18" customHeight="1">
      <c r="A3" s="1" t="n"/>
      <c r="B3" s="5">
        <f>HYPERLINK("#Dashboard!A1","⌂ Dashboard")</f>
        <v/>
      </c>
      <c r="D3" s="5">
        <f>HYPERLINK("#Activites!A1","✎ Activités")</f>
        <v/>
      </c>
      <c r="F3" s="5">
        <f>HYPERLINK("#OIL!A1","⚑ OIL")</f>
        <v/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5" ht="18" customHeight="1">
      <c r="B5" s="6" t="n"/>
      <c r="C5" s="7" t="n"/>
      <c r="D5" s="8" t="n"/>
      <c r="E5" s="9" t="n"/>
      <c r="F5" s="10" t="n"/>
      <c r="G5" s="11" t="n"/>
      <c r="H5" s="12" t="n"/>
      <c r="I5" s="13" t="n"/>
      <c r="J5" s="14" t="n"/>
      <c r="K5" s="9" t="n"/>
      <c r="L5" s="10" t="n"/>
      <c r="M5" s="11" t="n"/>
    </row>
    <row r="6" ht="18" customHeight="1">
      <c r="B6" s="15" t="inlineStr">
        <is>
          <t>AVANCEMENT UO</t>
        </is>
      </c>
      <c r="D6" s="16" t="n"/>
      <c r="E6" s="17" t="inlineStr">
        <is>
          <t>CONSOMMÉ</t>
        </is>
      </c>
      <c r="G6" s="18" t="n"/>
      <c r="H6" s="19" t="inlineStr">
        <is>
          <t>POINTS OUVERTS</t>
        </is>
      </c>
      <c r="J6" s="20" t="n"/>
      <c r="K6" s="17" t="inlineStr">
        <is>
          <t>EAC</t>
        </is>
      </c>
      <c r="M6" s="18" t="n"/>
    </row>
    <row r="7" ht="18" customHeight="1">
      <c r="B7" s="21" t="inlineStr">
        <is>
          <t>45,0 %</t>
        </is>
      </c>
      <c r="D7" s="16" t="n"/>
      <c r="E7" s="22" t="inlineStr">
        <is>
          <t>29,5 %</t>
        </is>
      </c>
      <c r="G7" s="18" t="n"/>
      <c r="H7" s="23" t="inlineStr">
        <is>
          <t>2  ▲1</t>
        </is>
      </c>
      <c r="J7" s="20" t="n"/>
      <c r="K7" s="24" t="inlineStr">
        <is>
          <t>169 h</t>
        </is>
      </c>
      <c r="M7" s="18" t="n"/>
    </row>
    <row r="8" ht="18" customHeight="1">
      <c r="B8" s="25" t="inlineStr">
        <is>
          <t>pondéré par poids</t>
        </is>
      </c>
      <c r="C8" s="26" t="n"/>
      <c r="D8" s="27" t="n"/>
      <c r="E8" s="28" t="inlineStr">
        <is>
          <t>59 h / 200 h</t>
        </is>
      </c>
      <c r="F8" s="29" t="n"/>
      <c r="G8" s="30" t="n"/>
      <c r="H8" s="31" t="inlineStr">
        <is>
          <t>dont 1 critique</t>
        </is>
      </c>
      <c r="I8" s="32" t="n"/>
      <c r="J8" s="33" t="n"/>
      <c r="K8" s="28" t="inlineStr">
        <is>
          <t>dérive −31 h</t>
        </is>
      </c>
      <c r="L8" s="29" t="n"/>
      <c r="M8" s="30" t="n"/>
    </row>
    <row r="10">
      <c r="F10" s="34" t="inlineStr">
        <is>
          <t>Prochains livrables</t>
        </is>
      </c>
    </row>
    <row r="11" ht="19" customHeight="1">
      <c r="F11" s="35" t="inlineStr">
        <is>
          <t>SAA.RS — Requirement Spec</t>
        </is>
      </c>
      <c r="G11" s="36" t="n"/>
      <c r="H11" s="36" t="n"/>
      <c r="I11" s="36" t="n"/>
      <c r="J11" s="36" t="n"/>
      <c r="K11" s="37" t="inlineStr">
        <is>
          <t>M3</t>
        </is>
      </c>
      <c r="L11" s="38" t="inlineStr">
        <is>
          <t>EN_COURS</t>
        </is>
      </c>
      <c r="M11" s="36" t="n"/>
    </row>
    <row r="12" ht="19" customHeight="1">
      <c r="F12" s="35" t="inlineStr">
        <is>
          <t>RSS.RS — Subsystem Spec</t>
        </is>
      </c>
      <c r="G12" s="36" t="n"/>
      <c r="H12" s="36" t="n"/>
      <c r="I12" s="36" t="n"/>
      <c r="J12" s="36" t="n"/>
      <c r="K12" s="37" t="inlineStr">
        <is>
          <t>M3</t>
        </is>
      </c>
      <c r="L12" s="38" t="inlineStr">
        <is>
          <t>A_FAIRE</t>
        </is>
      </c>
      <c r="M12" s="36" t="n"/>
    </row>
    <row r="13" ht="19" customHeight="1">
      <c r="F13" s="35" t="inlineStr">
        <is>
          <t>DR.RS — Design Review file</t>
        </is>
      </c>
      <c r="G13" s="36" t="n"/>
      <c r="H13" s="36" t="n"/>
      <c r="I13" s="36" t="n"/>
      <c r="J13" s="36" t="n"/>
      <c r="K13" s="37" t="inlineStr">
        <is>
          <t>—</t>
        </is>
      </c>
      <c r="L13" s="38" t="inlineStr">
        <is>
          <t>A_FAIRE</t>
        </is>
      </c>
      <c r="M13" s="36" t="n"/>
    </row>
    <row r="15">
      <c r="F15" s="34" t="inlineStr">
        <is>
          <t>La balle est chez…</t>
        </is>
      </c>
    </row>
    <row r="16" ht="22" customHeight="1">
      <c r="F16" s="39" t="inlineStr">
        <is>
          <t>FOURNISSEUR : 1</t>
        </is>
      </c>
      <c r="I16" s="40" t="inlineStr">
        <is>
          <t>EXPERT : 1</t>
        </is>
      </c>
      <c r="L16" s="41" t="inlineStr">
        <is>
          <t>NOUS (SE) : 0</t>
        </is>
      </c>
    </row>
  </sheetData>
  <mergeCells count="25">
    <mergeCell ref="F11:J11"/>
    <mergeCell ref="F16:G16"/>
    <mergeCell ref="B3:C3"/>
    <mergeCell ref="L16:M16"/>
    <mergeCell ref="B8:D8"/>
    <mergeCell ref="L13:M13"/>
    <mergeCell ref="H7:J7"/>
    <mergeCell ref="E6:G6"/>
    <mergeCell ref="F3:G3"/>
    <mergeCell ref="K8:M8"/>
    <mergeCell ref="L12:M12"/>
    <mergeCell ref="F12:J12"/>
    <mergeCell ref="I16:J16"/>
    <mergeCell ref="E7:G7"/>
    <mergeCell ref="B6:D6"/>
    <mergeCell ref="K7:M7"/>
    <mergeCell ref="M1:O2"/>
    <mergeCell ref="K6:M6"/>
    <mergeCell ref="H8:J8"/>
    <mergeCell ref="B7:D7"/>
    <mergeCell ref="D3:E3"/>
    <mergeCell ref="F13:J13"/>
    <mergeCell ref="E8:G8"/>
    <mergeCell ref="L11:M11"/>
    <mergeCell ref="H6:J6"/>
  </mergeCells>
  <conditionalFormatting sqref="L11:L13">
    <cfRule type="cellIs" priority="1" operator="equal" dxfId="0">
      <formula>"TERMINEE"</formula>
    </cfRule>
    <cfRule type="cellIs" priority="2" operator="equal" dxfId="1">
      <formula>"EN_COURS"</formula>
    </cfRule>
    <cfRule type="cellIs" priority="3" operator="equal" dxfId="2">
      <formula>"STAND_BY"</formula>
    </cfRule>
    <cfRule type="cellIs" priority="4" operator="equal" dxfId="3">
      <formula>"A_FAIRE"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fait</t>
        </is>
      </c>
      <c r="B1" t="n">
        <v>45</v>
      </c>
    </row>
    <row r="2">
      <c r="A2" t="inlineStr">
        <is>
          <t>reste</t>
        </is>
      </c>
      <c r="B2" t="n"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8ADD"/>
    <outlinePr summaryBelow="1" summaryRight="1"/>
    <pageSetUpPr/>
  </sheetPr>
  <dimension ref="A1:L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3" customWidth="1" min="3" max="3"/>
    <col width="13" customWidth="1" min="4" max="4"/>
    <col width="11" customWidth="1" min="5" max="5"/>
    <col width="14" customWidth="1" min="6" max="6"/>
    <col width="13" customWidth="1" min="7" max="7"/>
  </cols>
  <sheetData>
    <row r="1" ht="24" customHeight="1">
      <c r="A1" s="1" t="n"/>
      <c r="B1" s="2" t="inlineStr">
        <is>
          <t>UO L09U1 — Préparation et passage des IDR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16" customHeight="1">
      <c r="A2" s="1" t="n"/>
      <c r="B2" s="4" t="inlineStr">
        <is>
          <t>Saisie — Activités   ·   Projet Demo · Climatisation · J. Dujardin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1" t="n"/>
      <c r="B3" s="5">
        <f>HYPERLINK("#Dashboard!A1","⌂ Dashboard")</f>
        <v/>
      </c>
      <c r="D3" s="5">
        <f>HYPERLINK("#Activites!A1","✎ Activités")</f>
        <v/>
      </c>
      <c r="F3" s="5">
        <f>HYPERLINK("#OIL!A1","⚑ OIL")</f>
        <v/>
      </c>
      <c r="H3" s="1" t="n"/>
      <c r="I3" s="1" t="n"/>
      <c r="J3" s="1" t="n"/>
      <c r="K3" s="1" t="n"/>
      <c r="L3" s="1" t="n"/>
    </row>
    <row r="5" ht="22" customHeight="1">
      <c r="A5" s="42" t="inlineStr">
        <is>
          <t>id</t>
        </is>
      </c>
      <c r="B5" s="42" t="inlineStr">
        <is>
          <t>designation</t>
        </is>
      </c>
      <c r="C5" s="42" t="inlineStr">
        <is>
          <t>statut</t>
        </is>
      </c>
      <c r="D5" s="42" t="inlineStr">
        <is>
          <t>avancement</t>
        </is>
      </c>
      <c r="E5" s="42" t="inlineStr">
        <is>
          <t>load (h)</t>
        </is>
      </c>
      <c r="F5" s="42" t="inlineStr">
        <is>
          <t>consommé (h)</t>
        </is>
      </c>
      <c r="G5" s="42" t="inlineStr">
        <is>
          <t>reste (h)</t>
        </is>
      </c>
    </row>
    <row r="6" ht="20" customHeight="1">
      <c r="A6" s="43" t="inlineStr">
        <is>
          <t>ACT-01</t>
        </is>
      </c>
      <c r="B6" s="44" t="inlineStr">
        <is>
          <t>Analyse fonctionnelle du besoin</t>
        </is>
      </c>
      <c r="C6" s="43" t="inlineStr">
        <is>
          <t>TERMINEE</t>
        </is>
      </c>
      <c r="D6" s="43" t="n">
        <v>100</v>
      </c>
      <c r="E6" s="45" t="n">
        <v>24</v>
      </c>
      <c r="F6" s="45" t="n">
        <v>22</v>
      </c>
      <c r="G6" s="45" t="n">
        <v>0</v>
      </c>
    </row>
    <row r="7" ht="20" customHeight="1">
      <c r="A7" s="43" t="inlineStr">
        <is>
          <t>ACT-02</t>
        </is>
      </c>
      <c r="B7" s="44" t="inlineStr">
        <is>
          <t>Specification des exigences</t>
        </is>
      </c>
      <c r="C7" s="43" t="inlineStr">
        <is>
          <t>EN_COURS</t>
        </is>
      </c>
      <c r="D7" s="43" t="n">
        <v>60</v>
      </c>
      <c r="E7" s="45" t="n">
        <v>30</v>
      </c>
      <c r="F7" s="45" t="n">
        <v>28.5</v>
      </c>
      <c r="G7" s="45" t="n">
        <v>12</v>
      </c>
    </row>
    <row r="8" ht="20" customHeight="1">
      <c r="A8" s="43" t="inlineStr">
        <is>
          <t>ACT-03</t>
        </is>
      </c>
      <c r="B8" s="44" t="inlineStr">
        <is>
          <t>Definition d'architecture</t>
        </is>
      </c>
      <c r="C8" s="43" t="inlineStr">
        <is>
          <t>EN_COURS</t>
        </is>
      </c>
      <c r="D8" s="43" t="n">
        <v>35</v>
      </c>
      <c r="E8" s="45" t="n">
        <v>40</v>
      </c>
      <c r="F8" s="45" t="n">
        <v>12</v>
      </c>
      <c r="G8" s="45" t="n">
        <v>26</v>
      </c>
    </row>
    <row r="9" ht="20" customHeight="1">
      <c r="A9" s="43" t="inlineStr">
        <is>
          <t>ACT-04</t>
        </is>
      </c>
      <c r="B9" s="44" t="inlineStr">
        <is>
          <t>Calculs et simulations</t>
        </is>
      </c>
      <c r="C9" s="43" t="inlineStr">
        <is>
          <t>A_FAIRE</t>
        </is>
      </c>
      <c r="D9" s="43" t="n">
        <v>0</v>
      </c>
      <c r="E9" s="45" t="n">
        <v>35</v>
      </c>
      <c r="F9" s="45" t="n">
        <v>0</v>
      </c>
      <c r="G9" s="45" t="n">
        <v>35</v>
      </c>
    </row>
    <row r="10" ht="20" customHeight="1">
      <c r="A10" s="43" t="inlineStr">
        <is>
          <t>ACT-05</t>
        </is>
      </c>
      <c r="B10" s="44" t="inlineStr">
        <is>
          <t>Revue de conception</t>
        </is>
      </c>
      <c r="C10" s="43" t="inlineStr">
        <is>
          <t>A_FAIRE</t>
        </is>
      </c>
      <c r="D10" s="43" t="n">
        <v>0</v>
      </c>
      <c r="E10" s="45" t="n">
        <v>25</v>
      </c>
      <c r="F10" s="45" t="n">
        <v>0</v>
      </c>
      <c r="G10" s="45" t="n">
        <v>25</v>
      </c>
    </row>
    <row r="11" ht="20" customHeight="1">
      <c r="A11" s="43" t="inlineStr">
        <is>
          <t>ACT-06</t>
        </is>
      </c>
      <c r="B11" s="44" t="inlineStr">
        <is>
          <t>Preparation gate review</t>
        </is>
      </c>
      <c r="C11" s="43" t="inlineStr">
        <is>
          <t>STAND_BY</t>
        </is>
      </c>
      <c r="D11" s="43" t="n">
        <v>10</v>
      </c>
      <c r="E11" s="45" t="n">
        <v>46</v>
      </c>
      <c r="F11" s="45" t="n">
        <v>4</v>
      </c>
      <c r="G11" s="45" t="n">
        <v>41.4</v>
      </c>
    </row>
  </sheetData>
  <mergeCells count="3">
    <mergeCell ref="F3:G3"/>
    <mergeCell ref="B3:C3"/>
    <mergeCell ref="D3:E3"/>
  </mergeCells>
  <conditionalFormatting sqref="D6:D11">
    <cfRule type="dataBar" priority="1">
      <dataBar showValue="1">
        <cfvo type="num" val="0"/>
        <cfvo type="num" val="100"/>
        <color rgb="00378ADD"/>
      </dataBar>
    </cfRule>
  </conditionalFormatting>
  <conditionalFormatting sqref="C6:C11">
    <cfRule type="cellIs" priority="2" operator="equal" dxfId="0">
      <formula>"TERMINEE"</formula>
    </cfRule>
    <cfRule type="cellIs" priority="3" operator="equal" dxfId="1">
      <formula>"EN_COURS"</formula>
    </cfRule>
    <cfRule type="cellIs" priority="4" operator="equal" dxfId="2">
      <formula>"STAND_BY"</formula>
    </cfRule>
    <cfRule type="cellIs" priority="5" operator="equal" dxfId="3">
      <formula>"A_FAIRE"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F9F27"/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15" customWidth="1" min="3" max="3"/>
    <col width="12" customWidth="1" min="4" max="4"/>
    <col width="10" customWidth="1" min="5" max="5"/>
  </cols>
  <sheetData>
    <row r="1" ht="24" customHeight="1">
      <c r="A1" s="1" t="n"/>
      <c r="B1" s="2" t="inlineStr">
        <is>
          <t>UO L09U1 — Préparation et passage des IDR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16" customHeight="1">
      <c r="A2" s="1" t="n"/>
      <c r="B2" s="4" t="inlineStr">
        <is>
          <t>Points ouverts — OIL   ·   Projet Demo · Climatisation · J. Dujardin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" t="n"/>
      <c r="B3" s="5">
        <f>HYPERLINK("#Dashboard!A1","⌂ Dashboard")</f>
        <v/>
      </c>
      <c r="D3" s="5">
        <f>HYPERLINK("#Activites!A1","✎ Activités")</f>
        <v/>
      </c>
      <c r="F3" s="5">
        <f>HYPERLINK("#OIL!A1","⚑ OIL")</f>
        <v/>
      </c>
      <c r="H3" s="1" t="n"/>
      <c r="I3" s="1" t="n"/>
      <c r="J3" s="1" t="n"/>
    </row>
    <row r="5" ht="22" customHeight="1">
      <c r="A5" s="42" t="inlineStr">
        <is>
          <t>id</t>
        </is>
      </c>
      <c r="B5" s="42" t="inlineStr">
        <is>
          <t>titre</t>
        </is>
      </c>
      <c r="C5" s="42" t="inlineStr">
        <is>
          <t>en_action</t>
        </is>
      </c>
      <c r="D5" s="42" t="inlineStr">
        <is>
          <t>criticite</t>
        </is>
      </c>
      <c r="E5" s="42" t="inlineStr">
        <is>
          <t>statut</t>
        </is>
      </c>
    </row>
    <row r="6" ht="20" customHeight="1">
      <c r="A6" s="43" t="inlineStr">
        <is>
          <t>PO-001</t>
        </is>
      </c>
      <c r="B6" s="44" t="inlineStr">
        <is>
          <t>Question expert normes EN 45545</t>
        </is>
      </c>
      <c r="C6" s="43" t="inlineStr">
        <is>
          <t>EXPERT</t>
        </is>
      </c>
      <c r="D6" s="43" t="inlineStr">
        <is>
          <t>HAUTE</t>
        </is>
      </c>
      <c r="E6" s="43" t="inlineStr">
        <is>
          <t>OUVERT</t>
        </is>
      </c>
    </row>
    <row r="7" ht="20" customHeight="1">
      <c r="A7" s="43" t="inlineStr">
        <is>
          <t>PO-002</t>
        </is>
      </c>
      <c r="B7" s="44" t="inlineStr">
        <is>
          <t>Attente retour relecture fournisseur</t>
        </is>
      </c>
      <c r="C7" s="43" t="inlineStr">
        <is>
          <t>FOURNISSEUR</t>
        </is>
      </c>
      <c r="D7" s="43" t="inlineStr">
        <is>
          <t>MOYENNE</t>
        </is>
      </c>
      <c r="E7" s="43" t="inlineStr">
        <is>
          <t>OUVERT</t>
        </is>
      </c>
    </row>
    <row r="8" ht="20" customHeight="1">
      <c r="A8" s="43" t="inlineStr">
        <is>
          <t>PO-003</t>
        </is>
      </c>
      <c r="B8" s="44" t="inlineStr">
        <is>
          <t>Acces outil documentaire obtenu</t>
        </is>
      </c>
      <c r="C8" s="43" t="inlineStr">
        <is>
          <t>SE</t>
        </is>
      </c>
      <c r="D8" s="43" t="inlineStr">
        <is>
          <t>BASSE</t>
        </is>
      </c>
      <c r="E8" s="43" t="inlineStr">
        <is>
          <t>CLOS</t>
        </is>
      </c>
    </row>
  </sheetData>
  <mergeCells count="3">
    <mergeCell ref="F3:G3"/>
    <mergeCell ref="B3:C3"/>
    <mergeCell ref="D3:E3"/>
  </mergeCells>
  <conditionalFormatting sqref="D6:D8">
    <cfRule type="cellIs" priority="1" operator="equal" dxfId="4">
      <formula>"HAUTE"</formula>
    </cfRule>
    <cfRule type="cellIs" priority="2" operator="equal" dxfId="2">
      <formula>"MOYENNE"</formula>
    </cfRule>
    <cfRule type="cellIs" priority="3" operator="equal" dxfId="3">
      <formula>"BASSE"</formula>
    </cfRule>
  </conditionalFormatting>
  <conditionalFormatting sqref="E6:E8">
    <cfRule type="cellIs" priority="4" operator="equal" dxfId="4">
      <formula>"OUVERT"</formula>
    </cfRule>
    <cfRule type="cellIs" priority="5" operator="equal" dxfId="5">
      <formula>"CLOS"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2026-06-12T12:12:51Z</dcterms:created>
  <dcterms:modified xmlns:dcterms="http://purl.org/dc/terms/" xmlns:xsi="http://www.w3.org/2001/XMLSchema-instance" xsi:type="dcterms:W3CDTF">2026-06-12T12:12:51Z</dcterms:modified>
</cp:coreProperties>
</file>